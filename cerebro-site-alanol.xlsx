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SEO_Paginas" sheetId="6" state="visible" r:id="rId6"/>
    <sheet xmlns:r="http://schemas.openxmlformats.org/officeDocument/2006/relationships" name="CTA_Textos" sheetId="7" state="visible" r:id="rId7"/>
    <sheet xmlns:r="http://schemas.openxmlformats.org/officeDocument/2006/relationships" name="Calculadora_Furo" sheetId="8" state="visible" r:id="rId8"/>
    <sheet xmlns:r="http://schemas.openxmlformats.org/officeDocument/2006/relationships" name="Gerador_JS" sheetId="9" state="visible" r:id="rId9"/>
  </sheets>
  <definedNames>
    <definedName name="_xlnm._FilterDatabase" localSheetId="3" hidden="1">'Produtos'!$A$4:$Q$53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color rgb="00666666"/>
      <sz val="10"/>
    </font>
    <font>
      <b val="1"/>
      <color rgb="00FFFFFF"/>
    </font>
    <font>
      <color rgb="00666666"/>
    </font>
    <font>
      <color rgb="00000000"/>
    </font>
    <font>
      <color rgb="000000FF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EAF2FB"/>
      </patternFill>
    </fill>
    <fill>
      <patternFill patternType="solid">
        <fgColor rgb="000D5AA7"/>
      </patternFill>
    </fill>
    <fill>
      <patternFill patternType="solid">
        <fgColor rgb="00F4B183"/>
      </patternFill>
    </fill>
  </fills>
  <borders count="3">
    <border>
      <left/>
      <right/>
      <top/>
      <bottom/>
      <diagonal/>
    </border>
    <border>
      <bottom style="thin">
        <color rgb="00D8E2ED"/>
      </bottom>
    </border>
    <border>
      <bottom style="medium">
        <color rgb="000D5AA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J5" authorId="0" shapeId="0">
      <text>
        <t>Escrever 1 frase comercial forte para listagens e homepage.</t>
      </text>
    </comment>
    <comment ref="J6" authorId="0" shapeId="0">
      <text>
        <t>Escrever 1 frase comercial forte para listagens e homepage.</t>
      </text>
    </comment>
    <comment ref="J7" authorId="0" shapeId="0">
      <text>
        <t>Escrever 1 frase comercial forte para listagens e homepage.</t>
      </text>
    </comment>
    <comment ref="J8" authorId="0" shapeId="0">
      <text>
        <t>Escrever 1 frase comercial forte para listagens e homepage.</t>
      </text>
    </comment>
    <comment ref="J9" authorId="0" shapeId="0">
      <text>
        <t>Escrever 1 frase comercial forte para listagens e homepage.</t>
      </text>
    </comment>
    <comment ref="J10" authorId="0" shapeId="0">
      <text>
        <t>Escrever 1 frase comercial forte para listagens e homepage.</t>
      </text>
    </comment>
    <comment ref="J11" authorId="0" shapeId="0">
      <text>
        <t>Escrever 1 frase comercial forte para listagens e homepage.</t>
      </text>
    </comment>
    <comment ref="J12" authorId="0" shapeId="0">
      <text>
        <t>Escrever 1 frase comercial forte para listagens e homepage.</t>
      </text>
    </comment>
    <comment ref="J13" authorId="0" shapeId="0">
      <text>
        <t>Escrever 1 frase comercial forte para listagens e homepage.</t>
      </text>
    </comment>
    <comment ref="J14" authorId="0" shapeId="0">
      <text>
        <t>Escrever 1 frase comercial forte para listagens e homepage.</t>
      </text>
    </comment>
    <comment ref="J15" authorId="0" shapeId="0">
      <text>
        <t>Escrever 1 frase comercial forte para listagens e homepage.</t>
      </text>
    </comment>
    <comment ref="J16" authorId="0" shapeId="0">
      <text>
        <t>Escrever 1 frase comercial forte para listagens e homepage.</t>
      </text>
    </comment>
    <comment ref="J17" authorId="0" shapeId="0">
      <text>
        <t>Escrever 1 frase comercial forte para listagens e homepage.</t>
      </text>
    </comment>
    <comment ref="J18" authorId="0" shapeId="0">
      <text>
        <t>Escrever 1 frase comercial forte para listagens e homepage.</t>
      </text>
    </comment>
    <comment ref="J19" authorId="0" shapeId="0">
      <text>
        <t>Escrever 1 frase comercial forte para listagens e homepage.</t>
      </text>
    </comment>
    <comment ref="J20" authorId="0" shapeId="0">
      <text>
        <t>Escrever 1 frase comercial forte para listagens e homepage.</t>
      </text>
    </comment>
    <comment ref="J21" authorId="0" shapeId="0">
      <text>
        <t>Escrever 1 frase comercial forte para listagens e homepage.</t>
      </text>
    </comment>
    <comment ref="J22" authorId="0" shapeId="0">
      <text>
        <t>Escrever 1 frase comercial forte para listagens e homepage.</t>
      </text>
    </comment>
    <comment ref="J23" authorId="0" shapeId="0">
      <text>
        <t>Escrever 1 frase comercial forte para listagens e homepage.</t>
      </text>
    </comment>
    <comment ref="J24" authorId="0" shapeId="0">
      <text>
        <t>Escrever 1 frase comercial forte para listagens e homepage.</t>
      </text>
    </comment>
    <comment ref="J25" authorId="0" shapeId="0">
      <text>
        <t>Escrever 1 frase comercial forte para listagens e homepage.</t>
      </text>
    </comment>
    <comment ref="J26" authorId="0" shapeId="0">
      <text>
        <t>Escrever 1 frase comercial forte para listagens e homepage.</t>
      </text>
    </comment>
    <comment ref="J27" authorId="0" shapeId="0">
      <text>
        <t>Escrever 1 frase comercial forte para listagens e homepage.</t>
      </text>
    </comment>
    <comment ref="J28" authorId="0" shapeId="0">
      <text>
        <t>Escrever 1 frase comercial forte para listagens e homepage.</t>
      </text>
    </comment>
    <comment ref="J29" authorId="0" shapeId="0">
      <text>
        <t>Escrever 1 frase comercial forte para listagens e homepage.</t>
      </text>
    </comment>
    <comment ref="J30" authorId="0" shapeId="0">
      <text>
        <t>Escrever 1 frase comercial forte para listagens e homepage.</t>
      </text>
    </comment>
    <comment ref="J31" authorId="0" shapeId="0">
      <text>
        <t>Escrever 1 frase comercial forte para listagens e homepage.</t>
      </text>
    </comment>
    <comment ref="J32" authorId="0" shapeId="0">
      <text>
        <t>Escrever 1 frase comercial forte para listagens e homepage.</t>
      </text>
    </comment>
    <comment ref="J33" authorId="0" shapeId="0">
      <text>
        <t>Escrever 1 frase comercial forte para listagens e homepage.</t>
      </text>
    </comment>
    <comment ref="J34" authorId="0" shapeId="0">
      <text>
        <t>Escrever 1 frase comercial forte para listagens e homepage.</t>
      </text>
    </comment>
    <comment ref="J35" authorId="0" shapeId="0">
      <text>
        <t>Escrever 1 frase comercial forte para listagens e homepage.</t>
      </text>
    </comment>
    <comment ref="J36" authorId="0" shapeId="0">
      <text>
        <t>Escrever 1 frase comercial forte para listagens e homepage.</t>
      </text>
    </comment>
    <comment ref="J37" authorId="0" shapeId="0">
      <text>
        <t>Escrever 1 frase comercial forte para listagens e homepage.</t>
      </text>
    </comment>
    <comment ref="J38" authorId="0" shapeId="0">
      <text>
        <t>Escrever 1 frase comercial forte para listagens e homepage.</t>
      </text>
    </comment>
    <comment ref="J39" authorId="0" shapeId="0">
      <text>
        <t>Escrever 1 frase comercial forte para listagens e homepage.</t>
      </text>
    </comment>
    <comment ref="J40" authorId="0" shapeId="0">
      <text>
        <t>Escrever 1 frase comercial forte para listagens e homepage.</t>
      </text>
    </comment>
    <comment ref="J41" authorId="0" shapeId="0">
      <text>
        <t>Escrever 1 frase comercial forte para listagens e homepage.</t>
      </text>
    </comment>
    <comment ref="J42" authorId="0" shapeId="0">
      <text>
        <t>Escrever 1 frase comercial forte para listagens e homepage.</t>
      </text>
    </comment>
    <comment ref="J43" authorId="0" shapeId="0">
      <text>
        <t>Escrever 1 frase comercial forte para listagens e homepage.</t>
      </text>
    </comment>
    <comment ref="J44" authorId="0" shapeId="0">
      <text>
        <t>Escrever 1 frase comercial forte para listagens e homepage.</t>
      </text>
    </comment>
    <comment ref="J45" authorId="0" shapeId="0">
      <text>
        <t>Escrever 1 frase comercial forte para listagens e homepage.</t>
      </text>
    </comment>
    <comment ref="J46" authorId="0" shapeId="0">
      <text>
        <t>Escrever 1 frase comercial forte para listagens e homepage.</t>
      </text>
    </comment>
    <comment ref="J47" authorId="0" shapeId="0">
      <text>
        <t>Escrever 1 frase comercial forte para listagens e homepage.</t>
      </text>
    </comment>
    <comment ref="J48" authorId="0" shapeId="0">
      <text>
        <t>Escrever 1 frase comercial forte para listagens e homepage.</t>
      </text>
    </comment>
    <comment ref="J49" authorId="0" shapeId="0">
      <text>
        <t>Escrever 1 frase comercial forte para listagens e homepage.</t>
      </text>
    </comment>
    <comment ref="J50" authorId="0" shapeId="0">
      <text>
        <t>Escrever 1 frase comercial forte para listagens e homepage.</t>
      </text>
    </comment>
    <comment ref="J51" authorId="0" shapeId="0">
      <text>
        <t>Escrever 1 frase comercial forte para listagens e homepage.</t>
      </text>
    </comment>
    <comment ref="J52" authorId="0" shapeId="0">
      <text>
        <t>Escrever 1 frase comercial forte para listagens e homepage.</t>
      </text>
    </comment>
    <comment ref="J53" authorId="0" shapeId="0">
      <text>
        <t>Escrever 1 frase comercial forte para listagens e homepage.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72" customWidth="1" min="4" max="4"/>
    <col width="3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CÉREBRO DO SITE ALANOL</t>
        </is>
      </c>
    </row>
    <row r="2">
      <c r="A2" s="2" t="inlineStr">
        <is>
          <t>Use este ficheiro para centralizar produtos, categorias, SEO, CTAs e dados técnicos. Azul = editar; preto = fórmulas; verde = dados ligados/importados.</t>
        </is>
      </c>
    </row>
    <row r="3"/>
    <row r="4">
      <c r="A4" s="3" t="inlineStr">
        <is>
          <t>Indicador</t>
        </is>
      </c>
      <c r="B4" s="3" t="inlineStr">
        <is>
          <t>Valor</t>
        </is>
      </c>
      <c r="C4" s="4" t="n"/>
      <c r="D4" s="3" t="inlineStr">
        <is>
          <t>Como usar</t>
        </is>
      </c>
      <c r="E4" s="3" t="inlineStr">
        <is>
          <t>Notas</t>
        </is>
      </c>
    </row>
    <row r="5">
      <c r="A5" s="5" t="inlineStr">
        <is>
          <t>Total de produtos</t>
        </is>
      </c>
      <c r="B5" s="6">
        <f>COUNTA(Produtos!A2:A500)</f>
        <v/>
      </c>
      <c r="C5" s="4" t="n"/>
      <c r="D5" s="4" t="inlineStr">
        <is>
          <t>1) Edita Produtos e Categorias. 2) Usa SEO_Paginas para títulos/descrições. 3) Usa Config para textos globais e CTAs.</t>
        </is>
      </c>
      <c r="E5" s="4" t="n"/>
    </row>
    <row r="6">
      <c r="A6" s="5" t="inlineStr">
        <is>
          <t>Produtos com Solar</t>
        </is>
      </c>
      <c r="B6" s="6">
        <f>COUNTIF(Produtos!K2:K500,"*Solar*")</f>
        <v/>
      </c>
      <c r="C6" s="4" t="n"/>
      <c r="D6" s="4" t="inlineStr">
        <is>
          <t>No site atual, os produtos vivem no ficheiro js/main.js. Esta folha serve como fonte mestre para copiar/atualizar dados.</t>
        </is>
      </c>
      <c r="E6" s="4" t="n"/>
    </row>
    <row r="7">
      <c r="A7" s="5" t="inlineStr">
        <is>
          <t>Categorias ativas</t>
        </is>
      </c>
      <c r="B7" s="6">
        <f>COUNTA(Categorias!A2:A50)</f>
        <v/>
      </c>
      <c r="C7" s="4" t="n"/>
      <c r="D7" s="4" t="inlineStr">
        <is>
          <t>A folha Gerador_JS cria linhas de objeto JS simples a partir da tabela Produtos.</t>
        </is>
      </c>
      <c r="E7" s="4" t="n"/>
    </row>
    <row r="8">
      <c r="A8" s="5" t="inlineStr">
        <is>
          <t>Produtos sem URL</t>
        </is>
      </c>
      <c r="B8" s="6">
        <f>COUNTBLANK(Produtos!I2:I500)</f>
        <v/>
      </c>
      <c r="C8" s="4" t="n"/>
      <c r="D8" s="4" t="inlineStr">
        <is>
          <t>Antes de publicar, confirma URLs, imagens, acentos e especificações técnicas.</t>
        </is>
      </c>
      <c r="E8" s="4" t="n"/>
    </row>
    <row r="9">
      <c r="A9" s="5" t="inlineStr">
        <is>
          <t>Produtos sem texto curto</t>
        </is>
      </c>
      <c r="B9" s="6">
        <f>COUNTBLANK(Produtos!J2:J500)</f>
        <v/>
      </c>
      <c r="C9" s="4" t="n"/>
      <c r="D9" s="4" t="inlineStr">
        <is>
          <t>Evita promessas absolutas sem confirmação técnica ou certificados.</t>
        </is>
      </c>
      <c r="E9" s="4" t="n"/>
    </row>
    <row r="10">
      <c r="A10" s="5" t="inlineStr">
        <is>
          <t>Última revisão</t>
        </is>
      </c>
      <c r="B10" s="7" t="inlineStr">
        <is>
          <t>2026-04-28</t>
        </is>
      </c>
      <c r="C10" s="4" t="n"/>
      <c r="D10" s="4" t="inlineStr">
        <is>
          <t>Mantém a comunicação técnica, direta e orientada à aplicação.</t>
        </is>
      </c>
      <c r="E10" s="4" t="n"/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6" customWidth="1" min="3" max="3"/>
    <col width="28" customWidth="1" min="4" max="4"/>
    <col width="45" customWidth="1" min="5" max="5"/>
  </cols>
  <sheetData>
    <row r="1">
      <c r="A1" s="1" t="inlineStr">
        <is>
          <t>CONFIGURAÇÕES GLOBAIS</t>
        </is>
      </c>
    </row>
    <row r="2">
      <c r="A2" s="2" t="inlineStr">
        <is>
          <t>Textos principais, contactos, CTAs e opções de estilo que podem alimentar o site.</t>
        </is>
      </c>
    </row>
    <row r="3"/>
    <row r="4">
      <c r="A4" s="3" t="inlineStr">
        <is>
          <t>Chave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Onde usar</t>
        </is>
      </c>
      <c r="E4" s="3" t="inlineStr">
        <is>
          <t>Notas</t>
        </is>
      </c>
    </row>
    <row r="5">
      <c r="A5" s="5" t="inlineStr">
        <is>
          <t>brand_name</t>
        </is>
      </c>
      <c r="B5" s="8" t="inlineStr">
        <is>
          <t>Alanol</t>
        </is>
      </c>
      <c r="C5" s="4" t="inlineStr">
        <is>
          <t>texto</t>
        </is>
      </c>
      <c r="D5" s="4" t="inlineStr">
        <is>
          <t>Header, SEO, footer</t>
        </is>
      </c>
      <c r="E5" s="4" t="inlineStr"/>
    </row>
    <row r="6">
      <c r="A6" s="5" t="inlineStr">
        <is>
          <t>brand_claim</t>
        </is>
      </c>
      <c r="B6" s="8" t="inlineStr">
        <is>
          <t>Bombagem de água com engenharia, assistência e resposta técnica.</t>
        </is>
      </c>
      <c r="C6" s="4" t="inlineStr">
        <is>
          <t>texto</t>
        </is>
      </c>
      <c r="D6" s="4" t="inlineStr">
        <is>
          <t>Hero H1</t>
        </is>
      </c>
      <c r="E6" s="4" t="inlineStr"/>
    </row>
    <row r="7">
      <c r="A7" s="5" t="inlineStr">
        <is>
          <t>hero_subtitle</t>
        </is>
      </c>
      <c r="B7" s="8" t="inlineStr">
        <is>
          <t>Eletrobombas de furo, poço, superfície e sistemas solares para agricultura, indústria, construção, pressurização e abastecimento.</t>
        </is>
      </c>
      <c r="C7" s="4" t="inlineStr">
        <is>
          <t>texto</t>
        </is>
      </c>
      <c r="D7" s="4" t="inlineStr">
        <is>
          <t>Hero subtítulo</t>
        </is>
      </c>
      <c r="E7" s="4" t="inlineStr"/>
    </row>
    <row r="8">
      <c r="A8" s="5" t="inlineStr">
        <is>
          <t>cta_primary</t>
        </is>
      </c>
      <c r="B8" s="8" t="inlineStr">
        <is>
          <t>Ver catálogo técnico</t>
        </is>
      </c>
      <c r="C8" s="4" t="inlineStr">
        <is>
          <t>texto</t>
        </is>
      </c>
      <c r="D8" s="4" t="inlineStr">
        <is>
          <t>Botões principais</t>
        </is>
      </c>
      <c r="E8" s="4" t="inlineStr"/>
    </row>
    <row r="9">
      <c r="A9" s="5" t="inlineStr">
        <is>
          <t>cta_secondary</t>
        </is>
      </c>
      <c r="B9" s="8" t="inlineStr">
        <is>
          <t>Pedir seleção de bomba</t>
        </is>
      </c>
      <c r="C9" s="4" t="inlineStr">
        <is>
          <t>texto</t>
        </is>
      </c>
      <c r="D9" s="4" t="inlineStr">
        <is>
          <t>Botões secundários</t>
        </is>
      </c>
      <c r="E9" s="4" t="inlineStr"/>
    </row>
    <row r="10">
      <c r="A10" s="5" t="inlineStr">
        <is>
          <t>phone_fixed</t>
        </is>
      </c>
      <c r="B10" s="8" t="inlineStr">
        <is>
          <t>+351 253 501 414</t>
        </is>
      </c>
      <c r="C10" s="4" t="inlineStr">
        <is>
          <t>contacto</t>
        </is>
      </c>
      <c r="D10" s="4" t="inlineStr">
        <is>
          <t>Footer/contactos</t>
        </is>
      </c>
      <c r="E10" s="4" t="inlineStr"/>
    </row>
    <row r="11">
      <c r="A11" s="5" t="inlineStr">
        <is>
          <t>phone_mobile</t>
        </is>
      </c>
      <c r="B11" s="8" t="inlineStr">
        <is>
          <t>+351 914 999 307</t>
        </is>
      </c>
      <c r="C11" s="4" t="inlineStr">
        <is>
          <t>contacto</t>
        </is>
      </c>
      <c r="D11" s="4" t="inlineStr">
        <is>
          <t>Footer/contactos</t>
        </is>
      </c>
      <c r="E11" s="4" t="inlineStr"/>
    </row>
    <row r="12">
      <c r="A12" s="5" t="inlineStr">
        <is>
          <t>whatsapp</t>
        </is>
      </c>
      <c r="B12" s="8" t="inlineStr">
        <is>
          <t>+351 910 178 819</t>
        </is>
      </c>
      <c r="C12" s="4" t="inlineStr">
        <is>
          <t>contacto</t>
        </is>
      </c>
      <c r="D12" s="4" t="inlineStr">
        <is>
          <t>Botão flutuante</t>
        </is>
      </c>
      <c r="E12" s="4" t="inlineStr">
        <is>
          <t>Confirmar número atual antes de publicar</t>
        </is>
      </c>
    </row>
    <row r="13">
      <c r="A13" s="5" t="inlineStr">
        <is>
          <t>email</t>
        </is>
      </c>
      <c r="B13" s="8" t="inlineStr">
        <is>
          <t>alanol@alanol.pt</t>
        </is>
      </c>
      <c r="C13" s="4" t="inlineStr">
        <is>
          <t>contacto</t>
        </is>
      </c>
      <c r="D13" s="4" t="inlineStr">
        <is>
          <t>Footer/contactos</t>
        </is>
      </c>
      <c r="E13" s="4" t="inlineStr"/>
    </row>
    <row r="14">
      <c r="A14" s="5" t="inlineStr">
        <is>
          <t>primary_color</t>
        </is>
      </c>
      <c r="B14" s="8" t="inlineStr">
        <is>
          <t>#0D5AA7</t>
        </is>
      </c>
      <c r="C14" s="4" t="inlineStr">
        <is>
          <t>cor</t>
        </is>
      </c>
      <c r="D14" s="4" t="inlineStr">
        <is>
          <t>CSS</t>
        </is>
      </c>
      <c r="E14" s="4" t="inlineStr"/>
    </row>
    <row r="15">
      <c r="A15" s="5" t="inlineStr">
        <is>
          <t>dark_color</t>
        </is>
      </c>
      <c r="B15" s="8" t="inlineStr">
        <is>
          <t>#071827</t>
        </is>
      </c>
      <c r="C15" s="4" t="inlineStr">
        <is>
          <t>cor</t>
        </is>
      </c>
      <c r="D15" s="4" t="inlineStr">
        <is>
          <t>CSS</t>
        </is>
      </c>
      <c r="E15" s="4" t="inlineStr"/>
    </row>
    <row r="16">
      <c r="A16" s="5" t="inlineStr">
        <is>
          <t>accent_color</t>
        </is>
      </c>
      <c r="B16" s="8" t="inlineStr">
        <is>
          <t>#35A6D8</t>
        </is>
      </c>
      <c r="C16" s="4" t="inlineStr">
        <is>
          <t>cor</t>
        </is>
      </c>
      <c r="D16" s="4" t="inlineStr">
        <is>
          <t>CSS</t>
        </is>
      </c>
      <c r="E16" s="4" t="inlineStr"/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2" customWidth="1" min="3" max="3"/>
    <col width="28" customWidth="1" min="4" max="4"/>
    <col width="14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CATEGORIAS</t>
        </is>
      </c>
    </row>
    <row r="2">
      <c r="A2" s="2" t="inlineStr">
        <is>
          <t>Define famílias de produtos, URLs, textos e cor de cada categoria.</t>
        </is>
      </c>
    </row>
    <row r="3"/>
    <row r="4">
      <c r="A4" s="3" t="inlineStr">
        <is>
          <t>ID Categoria</t>
        </is>
      </c>
      <c r="B4" s="3" t="inlineStr">
        <is>
          <t>Nome</t>
        </is>
      </c>
      <c r="C4" s="3" t="inlineStr">
        <is>
          <t>Descrição curta</t>
        </is>
      </c>
      <c r="D4" s="3" t="inlineStr">
        <is>
          <t>URL / filtro</t>
        </is>
      </c>
      <c r="E4" s="3" t="inlineStr">
        <is>
          <t>Cor CSS</t>
        </is>
      </c>
      <c r="F4" s="3" t="inlineStr">
        <is>
          <t>Prioridade</t>
        </is>
      </c>
      <c r="G4" s="3" t="inlineStr">
        <is>
          <t>Ativa?</t>
        </is>
      </c>
      <c r="H4" s="3" t="inlineStr">
        <is>
          <t>CTA</t>
        </is>
      </c>
    </row>
    <row r="5">
      <c r="A5" s="8" t="inlineStr">
        <is>
          <t>furo</t>
        </is>
      </c>
      <c r="B5" s="8" t="inlineStr">
        <is>
          <t>Furo</t>
        </is>
      </c>
      <c r="C5" s="8" t="inlineStr">
        <is>
          <t>Bombas submersíveis para captação profunda, abastecimento e rega.</t>
        </is>
      </c>
      <c r="D5" s="8" t="inlineStr">
        <is>
          <t>index.html#furo</t>
        </is>
      </c>
      <c r="E5" s="8" t="inlineStr">
        <is>
          <t>#0D5AA7</t>
        </is>
      </c>
      <c r="F5" s="8" t="n">
        <v>1</v>
      </c>
      <c r="G5" s="8" t="inlineStr">
        <is>
          <t>Sim</t>
        </is>
      </c>
      <c r="H5" s="8" t="inlineStr">
        <is>
          <t>Ver bombas de furo</t>
        </is>
      </c>
    </row>
    <row r="6">
      <c r="A6" s="8" t="inlineStr">
        <is>
          <t>solar</t>
        </is>
      </c>
      <c r="B6" s="8" t="inlineStr">
        <is>
          <t>Solar</t>
        </is>
      </c>
      <c r="C6" s="8" t="inlineStr">
        <is>
          <t>Bombagem fotovoltaica off-grid ou híbrida para furos, poços e depósitos.</t>
        </is>
      </c>
      <c r="D6" s="8" t="inlineStr">
        <is>
          <t>bombagem-solar.html</t>
        </is>
      </c>
      <c r="E6" s="8" t="inlineStr">
        <is>
          <t>#1D7F55</t>
        </is>
      </c>
      <c r="F6" s="8" t="n">
        <v>2</v>
      </c>
      <c r="G6" s="8" t="inlineStr">
        <is>
          <t>Sim</t>
        </is>
      </c>
      <c r="H6" s="8" t="inlineStr">
        <is>
          <t>Ver soluções solares</t>
        </is>
      </c>
    </row>
    <row r="7">
      <c r="A7" s="8" t="inlineStr">
        <is>
          <t>poco</t>
        </is>
      </c>
      <c r="B7" s="8" t="inlineStr">
        <is>
          <t>Poço</t>
        </is>
      </c>
      <c r="C7" s="8" t="inlineStr">
        <is>
          <t>Bombas de poço, drenagem, águas residuais e serviço contínuo.</t>
        </is>
      </c>
      <c r="D7" s="8" t="inlineStr">
        <is>
          <t>index.html#poco</t>
        </is>
      </c>
      <c r="E7" s="8" t="inlineStr">
        <is>
          <t>#6B6F76</t>
        </is>
      </c>
      <c r="F7" s="8" t="n">
        <v>3</v>
      </c>
      <c r="G7" s="8" t="inlineStr">
        <is>
          <t>Sim</t>
        </is>
      </c>
      <c r="H7" s="8" t="inlineStr">
        <is>
          <t>Ver bombas de poço</t>
        </is>
      </c>
    </row>
    <row r="8">
      <c r="A8" s="8" t="inlineStr">
        <is>
          <t>superficie</t>
        </is>
      </c>
      <c r="B8" s="8" t="inlineStr">
        <is>
          <t>Superfície</t>
        </is>
      </c>
      <c r="C8" s="8" t="inlineStr">
        <is>
          <t>Pressurização, grupos de pressão e aplicações industriais.</t>
        </is>
      </c>
      <c r="D8" s="8" t="inlineStr">
        <is>
          <t>index.html#superficie</t>
        </is>
      </c>
      <c r="E8" s="8" t="inlineStr">
        <is>
          <t>#7030A0</t>
        </is>
      </c>
      <c r="F8" s="8" t="n">
        <v>4</v>
      </c>
      <c r="G8" s="8" t="inlineStr">
        <is>
          <t>Sim</t>
        </is>
      </c>
      <c r="H8" s="8" t="inlineStr">
        <is>
          <t>Ver superfície</t>
        </is>
      </c>
    </row>
    <row r="9">
      <c r="A9" s="8" t="inlineStr">
        <is>
          <t>controlo</t>
        </is>
      </c>
      <c r="B9" s="8" t="inlineStr">
        <is>
          <t>Controlo</t>
        </is>
      </c>
      <c r="C9" s="8" t="inlineStr">
        <is>
          <t>Quadros, variadores, proteção e pressão constante.</t>
        </is>
      </c>
      <c r="D9" s="8" t="inlineStr">
        <is>
          <t>index.html#controlo</t>
        </is>
      </c>
      <c r="E9" s="8" t="inlineStr">
        <is>
          <t>#E2A329</t>
        </is>
      </c>
      <c r="F9" s="8" t="n">
        <v>5</v>
      </c>
      <c r="G9" s="8" t="inlineStr">
        <is>
          <t>Sim</t>
        </is>
      </c>
      <c r="H9" s="8" t="inlineStr">
        <is>
          <t>Ver controlo</t>
        </is>
      </c>
    </row>
    <row r="10">
      <c r="A10" s="8" t="inlineStr">
        <is>
          <t>depositos</t>
        </is>
      </c>
      <c r="B10" s="8" t="inlineStr">
        <is>
          <t>Depósitos</t>
        </is>
      </c>
      <c r="C10" s="8" t="inlineStr">
        <is>
          <t>Depósitos INOX com e sem membrana.</t>
        </is>
      </c>
      <c r="D10" s="8" t="inlineStr">
        <is>
          <t>index.html#depositos</t>
        </is>
      </c>
      <c r="E10" s="8" t="inlineStr">
        <is>
          <t>#35A6D8</t>
        </is>
      </c>
      <c r="F10" s="8" t="n">
        <v>6</v>
      </c>
      <c r="G10" s="8" t="inlineStr">
        <is>
          <t>Sim</t>
        </is>
      </c>
      <c r="H10" s="8" t="inlineStr">
        <is>
          <t>Ver depósitos</t>
        </is>
      </c>
    </row>
    <row r="11">
      <c r="A11" s="8" t="inlineStr">
        <is>
          <t>acessorios</t>
        </is>
      </c>
      <c r="B11" s="8" t="inlineStr">
        <is>
          <t>Acessórios</t>
        </is>
      </c>
      <c r="C11" s="8" t="inlineStr">
        <is>
          <t>Peças e acessórios de montagem.</t>
        </is>
      </c>
      <c r="D11" s="8" t="inlineStr">
        <is>
          <t>index.html#acessorios</t>
        </is>
      </c>
      <c r="E11" s="8" t="inlineStr">
        <is>
          <t>#657487</t>
        </is>
      </c>
      <c r="F11" s="8" t="n">
        <v>7</v>
      </c>
      <c r="G11" s="8" t="inlineStr">
        <is>
          <t>Sim</t>
        </is>
      </c>
      <c r="H11" s="8" t="inlineStr">
        <is>
          <t>Ver acessórios</t>
        </is>
      </c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2" customWidth="1" min="5" max="5"/>
    <col width="16" customWidth="1" min="6" max="6"/>
    <col width="48" customWidth="1" min="7" max="7"/>
    <col width="36" customWidth="1" min="8" max="8"/>
    <col width="42" customWidth="1" min="9" max="9"/>
    <col width="54" customWidth="1" min="10" max="10"/>
    <col width="54" customWidth="1" min="11" max="11"/>
    <col width="10" customWidth="1" min="12" max="12"/>
    <col width="10" customWidth="1" min="13" max="13"/>
    <col width="12" customWidth="1" min="14" max="14"/>
    <col width="28" customWidth="1" min="15" max="15"/>
    <col width="36" customWidth="1" min="16" max="16"/>
    <col width="58" customWidth="1" min="17" max="17"/>
  </cols>
  <sheetData>
    <row r="1">
      <c r="A1" s="1" t="inlineStr">
        <is>
          <t>PRODUTOS</t>
        </is>
      </c>
    </row>
    <row r="2">
      <c r="A2" s="2" t="inlineStr">
        <is>
          <t>Base mestre de produtos. Edita as células azuis. As fórmulas calculam flags úteis para SEO e filtros.</t>
        </is>
      </c>
    </row>
    <row r="3"/>
    <row r="4">
      <c r="A4" s="3" t="inlineStr">
        <is>
          <t>ID</t>
        </is>
      </c>
      <c r="B4" s="3" t="inlineStr">
        <is>
          <t>Nome</t>
        </is>
      </c>
      <c r="C4" s="3" t="inlineStr">
        <is>
          <t>Categoria</t>
        </is>
      </c>
      <c r="D4" s="3" t="inlineStr">
        <is>
          <t>Q máx (m³/h)</t>
        </is>
      </c>
      <c r="E4" s="3" t="inlineStr">
        <is>
          <t>H máx (m)</t>
        </is>
      </c>
      <c r="F4" s="3" t="inlineStr">
        <is>
          <t>Potência máx (kW)</t>
        </is>
      </c>
      <c r="G4" s="3" t="inlineStr">
        <is>
          <t>Imagem</t>
        </is>
      </c>
      <c r="H4" s="3" t="inlineStr">
        <is>
          <t>URL</t>
        </is>
      </c>
      <c r="I4" s="3" t="inlineStr">
        <is>
          <t>Resumo técnico</t>
        </is>
      </c>
      <c r="J4" s="3" t="inlineStr">
        <is>
          <t>Texto curto comercial</t>
        </is>
      </c>
      <c r="K4" s="3" t="inlineStr">
        <is>
          <t>Tags</t>
        </is>
      </c>
      <c r="L4" s="3" t="inlineStr">
        <is>
          <t>Solar?</t>
        </is>
      </c>
      <c r="M4" s="3" t="inlineStr">
        <is>
          <t>Prioridade</t>
        </is>
      </c>
      <c r="N4" s="3" t="inlineStr">
        <is>
          <t>Publicado?</t>
        </is>
      </c>
      <c r="O4" s="3" t="inlineStr">
        <is>
          <t>Slug calculado</t>
        </is>
      </c>
      <c r="P4" s="3" t="inlineStr">
        <is>
          <t>Título SEO sugerido</t>
        </is>
      </c>
      <c r="Q4" s="3" t="inlineStr">
        <is>
          <t>Descrição SEO sugerida</t>
        </is>
      </c>
    </row>
    <row r="5">
      <c r="A5" s="9" t="n">
        <v>2795</v>
      </c>
      <c r="B5" s="8" t="inlineStr">
        <is>
          <t>ALANOL® F4"</t>
        </is>
      </c>
      <c r="C5" s="8" t="inlineStr">
        <is>
          <t>furo</t>
        </is>
      </c>
      <c r="D5" s="8" t="n">
        <v>24</v>
      </c>
      <c r="E5" s="8" t="n">
        <v>345</v>
      </c>
      <c r="F5" s="8" t="n"/>
      <c r="G5" s="9" t="inlineStr">
        <is>
          <t>https://alanol.pt/img/products/f4.png</t>
        </is>
      </c>
      <c r="H5" s="9" t="inlineStr">
        <is>
          <t>produtos/eletrobomba-f4.html</t>
        </is>
      </c>
      <c r="I5" s="8" t="inlineStr">
        <is>
          <t>Q: 24 m³/h · H: 345 m · Furo 4"</t>
        </is>
      </c>
      <c r="J5" s="8" t="inlineStr"/>
      <c r="K5" s="8" t="inlineStr">
        <is>
          <t>Água Limpa, Rega Agrícola, Rega Residencial, Solar</t>
        </is>
      </c>
      <c r="L5" s="10">
        <f>IF(ISNUMBER(SEARCH("Solar",K5)),"Sim","Não")</f>
        <v/>
      </c>
      <c r="M5" s="4" t="n">
        <v>99</v>
      </c>
      <c r="N5" s="4" t="inlineStr">
        <is>
          <t>Sim</t>
        </is>
      </c>
      <c r="O5" s="10">
        <f>LOWER(SUBSTITUTE(SUBSTITUTE(B5," ","-"),"®",""))</f>
        <v/>
      </c>
      <c r="P5" s="10">
        <f>B5&amp;" | Alanol"</f>
        <v/>
      </c>
      <c r="Q5" s="10">
        <f>LEFT(J5&amp;" "&amp;I5,155)</f>
        <v/>
      </c>
    </row>
    <row r="6">
      <c r="A6" s="9" t="n">
        <v>4462</v>
      </c>
      <c r="B6" s="8" t="inlineStr">
        <is>
          <t>ALANOL® FTI</t>
        </is>
      </c>
      <c r="C6" s="8" t="inlineStr">
        <is>
          <t>furo</t>
        </is>
      </c>
      <c r="D6" s="8" t="n">
        <v>270</v>
      </c>
      <c r="E6" s="8" t="n">
        <v>400</v>
      </c>
      <c r="F6" s="8" t="n"/>
      <c r="G6" s="9" t="inlineStr">
        <is>
          <t>https://alanol.pt/img/products/fti.png</t>
        </is>
      </c>
      <c r="H6" s="9" t="inlineStr">
        <is>
          <t>produtos/eletrobomba-fti.html</t>
        </is>
      </c>
      <c r="I6" s="8" t="inlineStr">
        <is>
          <t>Qmax: 270 m³/h · Hmax: 400 m · Furo elevado caudal</t>
        </is>
      </c>
      <c r="J6" s="8" t="inlineStr"/>
      <c r="K6" s="8" t="inlineStr">
        <is>
          <t>Água Limpa, Rega Agrícola, Pressurização Edifícios, Campos Desportivos, Solar</t>
        </is>
      </c>
      <c r="L6" s="10">
        <f>IF(ISNUMBER(SEARCH("Solar",K6)),"Sim","Não")</f>
        <v/>
      </c>
      <c r="M6" s="4" t="n">
        <v>99</v>
      </c>
      <c r="N6" s="4" t="inlineStr">
        <is>
          <t>Sim</t>
        </is>
      </c>
      <c r="O6" s="10">
        <f>LOWER(SUBSTITUTE(SUBSTITUTE(B6," ","-"),"®",""))</f>
        <v/>
      </c>
      <c r="P6" s="10">
        <f>B6&amp;" | Alanol"</f>
        <v/>
      </c>
      <c r="Q6" s="10">
        <f>LEFT(J6&amp;" "&amp;I6,155)</f>
        <v/>
      </c>
    </row>
    <row r="7">
      <c r="A7" s="9" t="n">
        <v>4466</v>
      </c>
      <c r="B7" s="8" t="inlineStr">
        <is>
          <t>ALANOL® FTI VS</t>
        </is>
      </c>
      <c r="C7" s="8" t="inlineStr">
        <is>
          <t>furo</t>
        </is>
      </c>
      <c r="D7" s="8" t="n">
        <v>120</v>
      </c>
      <c r="E7" s="8" t="n">
        <v>690</v>
      </c>
      <c r="F7" s="8" t="n"/>
      <c r="G7" s="9" t="inlineStr">
        <is>
          <t>https://alanol.pt/img/products/ftivs.png</t>
        </is>
      </c>
      <c r="H7" s="9" t="inlineStr">
        <is>
          <t>produtos/fti-vs.html</t>
        </is>
      </c>
      <c r="I7" s="8" t="inlineStr">
        <is>
          <t>Qmax: 120 m³/h · Hmax: 690 m · INOX</t>
        </is>
      </c>
      <c r="J7" s="8" t="inlineStr"/>
      <c r="K7" s="8" t="inlineStr">
        <is>
          <t>Água Limpa, Rega Agrícola, Pressurização Edifícios, Pedreiras, Águas Agressivas, Solar</t>
        </is>
      </c>
      <c r="L7" s="10">
        <f>IF(ISNUMBER(SEARCH("Solar",K7)),"Sim","Não")</f>
        <v/>
      </c>
      <c r="M7" s="4" t="n">
        <v>99</v>
      </c>
      <c r="N7" s="4" t="inlineStr">
        <is>
          <t>Sim</t>
        </is>
      </c>
      <c r="O7" s="10">
        <f>LOWER(SUBSTITUTE(SUBSTITUTE(B7," ","-"),"®",""))</f>
        <v/>
      </c>
      <c r="P7" s="10">
        <f>B7&amp;" | Alanol"</f>
        <v/>
      </c>
      <c r="Q7" s="10">
        <f>LEFT(J7&amp;" "&amp;I7,155)</f>
        <v/>
      </c>
    </row>
    <row r="8">
      <c r="A8" s="9" t="n">
        <v>9267</v>
      </c>
      <c r="B8" s="8" t="inlineStr">
        <is>
          <t>VSC 8"/10"</t>
        </is>
      </c>
      <c r="C8" s="8" t="inlineStr">
        <is>
          <t>furo</t>
        </is>
      </c>
      <c r="D8" s="8" t="n">
        <v>342</v>
      </c>
      <c r="E8" s="8" t="n">
        <v>580</v>
      </c>
      <c r="F8" s="8" t="n">
        <v>75</v>
      </c>
      <c r="G8" s="9" t="inlineStr">
        <is>
          <t>https://alanol.pt/img/products/vsc.png</t>
        </is>
      </c>
      <c r="H8" s="9" t="inlineStr">
        <is>
          <t>produtos/vsc.html</t>
        </is>
      </c>
      <c r="I8" s="8" t="inlineStr">
        <is>
          <t>Qmax: 342 m³/h · Hmax: 580 m · INOX</t>
        </is>
      </c>
      <c r="J8" s="8" t="inlineStr"/>
      <c r="K8" s="8" t="inlineStr">
        <is>
          <t>Água Limpa, Rega Agrícola, Pressurização Edifícios, Pedreiras, Águas Agressivas, Solar</t>
        </is>
      </c>
      <c r="L8" s="10">
        <f>IF(ISNUMBER(SEARCH("Solar",K8)),"Sim","Não")</f>
        <v/>
      </c>
      <c r="M8" s="4" t="n">
        <v>99</v>
      </c>
      <c r="N8" s="4" t="inlineStr">
        <is>
          <t>Sim</t>
        </is>
      </c>
      <c r="O8" s="10">
        <f>LOWER(SUBSTITUTE(SUBSTITUTE(B8," ","-"),"®",""))</f>
        <v/>
      </c>
      <c r="P8" s="10">
        <f>B8&amp;" | Alanol"</f>
        <v/>
      </c>
      <c r="Q8" s="10">
        <f>LEFT(J8&amp;" "&amp;I8,155)</f>
        <v/>
      </c>
    </row>
    <row r="9">
      <c r="A9" s="9" t="n">
        <v>20577</v>
      </c>
      <c r="B9" s="8" t="inlineStr">
        <is>
          <t>HES Alta Eficiência 4"</t>
        </is>
      </c>
      <c r="C9" s="8" t="inlineStr">
        <is>
          <t>furo</t>
        </is>
      </c>
      <c r="D9" s="8" t="n"/>
      <c r="E9" s="8" t="n"/>
      <c r="F9" s="8" t="n">
        <v>7.5</v>
      </c>
      <c r="G9" s="9" t="inlineStr">
        <is>
          <t>https://alanol.pt/img/products/hes.png</t>
        </is>
      </c>
      <c r="H9" s="9" t="inlineStr">
        <is>
          <t>produtos/motores-4-de-alta-eficiencia.html</t>
        </is>
      </c>
      <c r="I9" s="8" t="inlineStr">
        <is>
          <t>High Efficiency System · Classe IE3+</t>
        </is>
      </c>
      <c r="J9" s="8" t="inlineStr"/>
      <c r="K9" s="8" t="inlineStr">
        <is>
          <t>Água Limpa, Rega Agrícola, Rega Residencial, Solar</t>
        </is>
      </c>
      <c r="L9" s="10">
        <f>IF(ISNUMBER(SEARCH("Solar",K9)),"Sim","Não")</f>
        <v/>
      </c>
      <c r="M9" s="4" t="n">
        <v>99</v>
      </c>
      <c r="N9" s="4" t="inlineStr">
        <is>
          <t>Sim</t>
        </is>
      </c>
      <c r="O9" s="10">
        <f>LOWER(SUBSTITUTE(SUBSTITUTE(B9," ","-"),"®",""))</f>
        <v/>
      </c>
      <c r="P9" s="10">
        <f>B9&amp;" | Alanol"</f>
        <v/>
      </c>
      <c r="Q9" s="10">
        <f>LEFT(J9&amp;" "&amp;I9,155)</f>
        <v/>
      </c>
    </row>
    <row r="10">
      <c r="A10" s="9" t="n">
        <v>4389</v>
      </c>
      <c r="B10" s="8" t="inlineStr">
        <is>
          <t>VN — INOX 5"</t>
        </is>
      </c>
      <c r="C10" s="8" t="inlineStr">
        <is>
          <t>poco</t>
        </is>
      </c>
      <c r="D10" s="8" t="n">
        <v>14</v>
      </c>
      <c r="E10" s="8" t="n">
        <v>110</v>
      </c>
      <c r="F10" s="8" t="n">
        <v>3</v>
      </c>
      <c r="G10" s="9" t="inlineStr">
        <is>
          <t>https://alanol.pt/img/products/vn.png</t>
        </is>
      </c>
      <c r="H10" s="9" t="inlineStr">
        <is>
          <t>produtos/vn.html</t>
        </is>
      </c>
      <c r="I10" s="8" t="inlineStr">
        <is>
          <t>Q: 14 m³/h · H: 110 m · INOX 5"</t>
        </is>
      </c>
      <c r="J10" s="8" t="inlineStr"/>
      <c r="K10" s="8" t="inlineStr">
        <is>
          <t>Água Limpa, Rega Residencial, Pressurização Unifamiliar, Campos Desportivos, Solar</t>
        </is>
      </c>
      <c r="L10" s="10">
        <f>IF(ISNUMBER(SEARCH("Solar",K10)),"Sim","Não")</f>
        <v/>
      </c>
      <c r="M10" s="4" t="n">
        <v>99</v>
      </c>
      <c r="N10" s="4" t="inlineStr">
        <is>
          <t>Sim</t>
        </is>
      </c>
      <c r="O10" s="10">
        <f>LOWER(SUBSTITUTE(SUBSTITUTE(B10," ","-"),"®",""))</f>
        <v/>
      </c>
      <c r="P10" s="10">
        <f>B10&amp;" | Alanol"</f>
        <v/>
      </c>
      <c r="Q10" s="10">
        <f>LEFT(J10&amp;" "&amp;I10,155)</f>
        <v/>
      </c>
    </row>
    <row r="11">
      <c r="A11" s="9" t="n">
        <v>4454</v>
      </c>
      <c r="B11" s="8" t="inlineStr">
        <is>
          <t>ES — INOX 5"</t>
        </is>
      </c>
      <c r="C11" s="8" t="inlineStr">
        <is>
          <t>poco</t>
        </is>
      </c>
      <c r="D11" s="8" t="n">
        <v>7.5</v>
      </c>
      <c r="E11" s="8" t="n">
        <v>90</v>
      </c>
      <c r="F11" s="8" t="n">
        <v>1.1</v>
      </c>
      <c r="G11" s="9" t="inlineStr">
        <is>
          <t>https://alanol.pt/img/products/es.png</t>
        </is>
      </c>
      <c r="H11" s="9" t="inlineStr">
        <is>
          <t>produtos/es.html</t>
        </is>
      </c>
      <c r="I11" s="8" t="inlineStr">
        <is>
          <t>Q: 7,5 m³/h · H: 90 m · INOX 5"</t>
        </is>
      </c>
      <c r="J11" s="8" t="inlineStr"/>
      <c r="K11" s="8" t="inlineStr">
        <is>
          <t>Água Limpa, Rega Residencial, Pressurização Unifamiliar, Campos Desportivos, Solar</t>
        </is>
      </c>
      <c r="L11" s="10">
        <f>IF(ISNUMBER(SEARCH("Solar",K11)),"Sim","Não")</f>
        <v/>
      </c>
      <c r="M11" s="4" t="n">
        <v>99</v>
      </c>
      <c r="N11" s="4" t="inlineStr">
        <is>
          <t>Sim</t>
        </is>
      </c>
      <c r="O11" s="10">
        <f>LOWER(SUBSTITUTE(SUBSTITUTE(B11," ","-"),"®",""))</f>
        <v/>
      </c>
      <c r="P11" s="10">
        <f>B11&amp;" | Alanol"</f>
        <v/>
      </c>
      <c r="Q11" s="10">
        <f>LEFT(J11&amp;" "&amp;I11,155)</f>
        <v/>
      </c>
    </row>
    <row r="12">
      <c r="A12" s="9" t="n">
        <v>4355</v>
      </c>
      <c r="B12" s="8" t="inlineStr">
        <is>
          <t>ALANOL® AM-P / AT-P</t>
        </is>
      </c>
      <c r="C12" s="8" t="inlineStr">
        <is>
          <t>poco</t>
        </is>
      </c>
      <c r="D12" s="8" t="n">
        <v>7</v>
      </c>
      <c r="E12" s="8" t="n">
        <v>95</v>
      </c>
      <c r="F12" s="8" t="n">
        <v>2.2</v>
      </c>
      <c r="G12" s="9" t="inlineStr">
        <is>
          <t>https://alanol.pt/img/products/amp.png</t>
        </is>
      </c>
      <c r="H12" s="9" t="inlineStr">
        <is>
          <t>produtos/amp-atp.html</t>
        </is>
      </c>
      <c r="I12" s="8" t="inlineStr">
        <is>
          <t>Pressurização · Alumínio · Série P</t>
        </is>
      </c>
      <c r="J12" s="8" t="inlineStr"/>
      <c r="K12" s="8" t="inlineStr">
        <is>
          <t>Água Limpa, Pressurização Unifamiliar</t>
        </is>
      </c>
      <c r="L12" s="10">
        <f>IF(ISNUMBER(SEARCH("Solar",K12)),"Sim","Não")</f>
        <v/>
      </c>
      <c r="M12" s="4" t="n">
        <v>99</v>
      </c>
      <c r="N12" s="4" t="inlineStr">
        <is>
          <t>Sim</t>
        </is>
      </c>
      <c r="O12" s="10">
        <f>LOWER(SUBSTITUTE(SUBSTITUTE(B12," ","-"),"®",""))</f>
        <v/>
      </c>
      <c r="P12" s="10">
        <f>B12&amp;" | Alanol"</f>
        <v/>
      </c>
      <c r="Q12" s="10">
        <f>LEFT(J12&amp;" "&amp;I12,155)</f>
        <v/>
      </c>
    </row>
    <row r="13">
      <c r="A13" s="9" t="n">
        <v>4627</v>
      </c>
      <c r="B13" s="8" t="inlineStr">
        <is>
          <t>ALANOL® AM-A / AT-A</t>
        </is>
      </c>
      <c r="C13" s="8" t="inlineStr">
        <is>
          <t>poco</t>
        </is>
      </c>
      <c r="D13" s="8" t="n">
        <v>51</v>
      </c>
      <c r="E13" s="8" t="n">
        <v>32</v>
      </c>
      <c r="F13" s="8" t="n"/>
      <c r="G13" s="9" t="inlineStr">
        <is>
          <t>https://alanol.pt/img/products/amat.png</t>
        </is>
      </c>
      <c r="H13" s="9" t="inlineStr">
        <is>
          <t>produtos/ama-ata.html</t>
        </is>
      </c>
      <c r="I13" s="8" t="inlineStr">
        <is>
          <t>Qmax: 51 m³/h · Hmax: 32 m · Águas abrasivas</t>
        </is>
      </c>
      <c r="J13" s="8" t="inlineStr"/>
      <c r="K13" s="8" t="inlineStr">
        <is>
          <t>Água Lodosa, Rega Agrícola, Águas Agressivas, Pedreiras</t>
        </is>
      </c>
      <c r="L13" s="10">
        <f>IF(ISNUMBER(SEARCH("Solar",K13)),"Sim","Não")</f>
        <v/>
      </c>
      <c r="M13" s="4" t="n">
        <v>99</v>
      </c>
      <c r="N13" s="4" t="inlineStr">
        <is>
          <t>Sim</t>
        </is>
      </c>
      <c r="O13" s="10">
        <f>LOWER(SUBSTITUTE(SUBSTITUTE(B13," ","-"),"®",""))</f>
        <v/>
      </c>
      <c r="P13" s="10">
        <f>B13&amp;" | Alanol"</f>
        <v/>
      </c>
      <c r="Q13" s="10">
        <f>LEFT(J13&amp;" "&amp;I13,155)</f>
        <v/>
      </c>
    </row>
    <row r="14">
      <c r="A14" s="9" t="n">
        <v>14833</v>
      </c>
      <c r="B14" s="8" t="inlineStr">
        <is>
          <t>ALANOL® AM-L / AT-L</t>
        </is>
      </c>
      <c r="C14" s="8" t="inlineStr">
        <is>
          <t>poco</t>
        </is>
      </c>
      <c r="D14" s="8" t="n">
        <v>25</v>
      </c>
      <c r="E14" s="8" t="n">
        <v>18</v>
      </c>
      <c r="F14" s="8" t="n"/>
      <c r="G14" s="9" t="inlineStr">
        <is>
          <t>https://alanol.pt/img/products/aml.png</t>
        </is>
      </c>
      <c r="H14" s="9" t="inlineStr">
        <is>
          <t>produtos/am-l-at-l.html</t>
        </is>
      </c>
      <c r="I14" s="8" t="inlineStr">
        <is>
          <t>Qmax: 25 m³/h · Hmax: 18 m · Trituradora</t>
        </is>
      </c>
      <c r="J14" s="8" t="inlineStr"/>
      <c r="K14" s="8" t="inlineStr">
        <is>
          <t>Água Suja, Drenagem, Fossa</t>
        </is>
      </c>
      <c r="L14" s="10">
        <f>IF(ISNUMBER(SEARCH("Solar",K14)),"Sim","Não")</f>
        <v/>
      </c>
      <c r="M14" s="4" t="n">
        <v>99</v>
      </c>
      <c r="N14" s="4" t="inlineStr">
        <is>
          <t>Sim</t>
        </is>
      </c>
      <c r="O14" s="10">
        <f>LOWER(SUBSTITUTE(SUBSTITUTE(B14," ","-"),"®",""))</f>
        <v/>
      </c>
      <c r="P14" s="10">
        <f>B14&amp;" | Alanol"</f>
        <v/>
      </c>
      <c r="Q14" s="10">
        <f>LEFT(J14&amp;" "&amp;I14,155)</f>
        <v/>
      </c>
    </row>
    <row r="15">
      <c r="A15" s="9" t="n">
        <v>4370</v>
      </c>
      <c r="B15" s="8" t="inlineStr">
        <is>
          <t>ALANOL® AT-A-B</t>
        </is>
      </c>
      <c r="C15" s="8" t="inlineStr">
        <is>
          <t>poco</t>
        </is>
      </c>
      <c r="D15" s="8" t="n">
        <v>51</v>
      </c>
      <c r="E15" s="8" t="n">
        <v>32</v>
      </c>
      <c r="F15" s="8" t="n"/>
      <c r="G15" s="9" t="inlineStr">
        <is>
          <t>https://alanol.pt/img/products/amat.png</t>
        </is>
      </c>
      <c r="H15" s="9" t="inlineStr">
        <is>
          <t>produtos/amab-atab.html</t>
        </is>
      </c>
      <c r="I15" s="8" t="inlineStr">
        <is>
          <t>Qmax: 51 m³/h · Hmax: 32 m · Borracha</t>
        </is>
      </c>
      <c r="J15" s="8" t="inlineStr"/>
      <c r="K15" s="8" t="inlineStr">
        <is>
          <t>Água Lodosa, Rega Agrícola, Águas Agressivas</t>
        </is>
      </c>
      <c r="L15" s="10">
        <f>IF(ISNUMBER(SEARCH("Solar",K15)),"Sim","Não")</f>
        <v/>
      </c>
      <c r="M15" s="4" t="n">
        <v>99</v>
      </c>
      <c r="N15" s="4" t="inlineStr">
        <is>
          <t>Sim</t>
        </is>
      </c>
      <c r="O15" s="10">
        <f>LOWER(SUBSTITUTE(SUBSTITUTE(B15," ","-"),"®",""))</f>
        <v/>
      </c>
      <c r="P15" s="10">
        <f>B15&amp;" | Alanol"</f>
        <v/>
      </c>
      <c r="Q15" s="10">
        <f>LEFT(J15&amp;" "&amp;I15,155)</f>
        <v/>
      </c>
    </row>
    <row r="16">
      <c r="A16" s="9" t="n">
        <v>4364</v>
      </c>
      <c r="B16" s="8" t="inlineStr">
        <is>
          <t>ALANOL® AM-1 / AT-1</t>
        </is>
      </c>
      <c r="C16" s="8" t="inlineStr">
        <is>
          <t>poco</t>
        </is>
      </c>
      <c r="D16" s="8" t="n">
        <v>38.5</v>
      </c>
      <c r="E16" s="8" t="n">
        <v>45</v>
      </c>
      <c r="F16" s="8" t="n"/>
      <c r="G16" s="9" t="inlineStr">
        <is>
          <t>https://alanol.pt/img/products/am1.png</t>
        </is>
      </c>
      <c r="H16" s="9" t="inlineStr">
        <is>
          <t>produtos/am1_at1.html</t>
        </is>
      </c>
      <c r="I16" s="8" t="inlineStr">
        <is>
          <t>Qmax: 38,5 m³/h · Hmax: 45 m · Alumínio</t>
        </is>
      </c>
      <c r="J16" s="8" t="inlineStr"/>
      <c r="K16" s="8" t="inlineStr">
        <is>
          <t>Água Limpa, Rega Residencial, Rega Agrícola</t>
        </is>
      </c>
      <c r="L16" s="10">
        <f>IF(ISNUMBER(SEARCH("Solar",K16)),"Sim","Não")</f>
        <v/>
      </c>
      <c r="M16" s="4" t="n">
        <v>99</v>
      </c>
      <c r="N16" s="4" t="inlineStr">
        <is>
          <t>Sim</t>
        </is>
      </c>
      <c r="O16" s="10">
        <f>LOWER(SUBSTITUTE(SUBSTITUTE(B16," ","-"),"®",""))</f>
        <v/>
      </c>
      <c r="P16" s="10">
        <f>B16&amp;" | Alanol"</f>
        <v/>
      </c>
      <c r="Q16" s="10">
        <f>LEFT(J16&amp;" "&amp;I16,155)</f>
        <v/>
      </c>
    </row>
    <row r="17">
      <c r="A17" s="9" t="n">
        <v>4366</v>
      </c>
      <c r="B17" s="8" t="inlineStr">
        <is>
          <t>ALANOL® AM-2 / AT-2</t>
        </is>
      </c>
      <c r="C17" s="8" t="inlineStr">
        <is>
          <t>poco</t>
        </is>
      </c>
      <c r="D17" s="8" t="n">
        <v>35</v>
      </c>
      <c r="E17" s="8" t="n">
        <v>58</v>
      </c>
      <c r="F17" s="8" t="n"/>
      <c r="G17" s="9" t="inlineStr">
        <is>
          <t>https://alanol.pt/img/products/amat.png</t>
        </is>
      </c>
      <c r="H17" s="9" t="inlineStr">
        <is>
          <t>produtos/am2-at2.html</t>
        </is>
      </c>
      <c r="I17" s="8" t="inlineStr">
        <is>
          <t>Qmax: 35 m³/h · Hmax: 58 m · Duas turbinas</t>
        </is>
      </c>
      <c r="J17" s="8" t="inlineStr"/>
      <c r="K17" s="8" t="inlineStr">
        <is>
          <t>Água Limpa, Rega Residencial, Rega Agrícola</t>
        </is>
      </c>
      <c r="L17" s="10">
        <f>IF(ISNUMBER(SEARCH("Solar",K17)),"Sim","Não")</f>
        <v/>
      </c>
      <c r="M17" s="4" t="n">
        <v>99</v>
      </c>
      <c r="N17" s="4" t="inlineStr">
        <is>
          <t>Sim</t>
        </is>
      </c>
      <c r="O17" s="10">
        <f>LOWER(SUBSTITUTE(SUBSTITUTE(B17," ","-"),"®",""))</f>
        <v/>
      </c>
      <c r="P17" s="10">
        <f>B17&amp;" | Alanol"</f>
        <v/>
      </c>
      <c r="Q17" s="10">
        <f>LEFT(J17&amp;" "&amp;I17,155)</f>
        <v/>
      </c>
    </row>
    <row r="18">
      <c r="A18" s="9" t="n">
        <v>4380</v>
      </c>
      <c r="B18" s="8" t="inlineStr">
        <is>
          <t>ALANOL® AM-A / AT-T</t>
        </is>
      </c>
      <c r="C18" s="8" t="inlineStr">
        <is>
          <t>poco</t>
        </is>
      </c>
      <c r="D18" s="8" t="n">
        <v>25</v>
      </c>
      <c r="E18" s="8" t="n">
        <v>18</v>
      </c>
      <c r="F18" s="8" t="n"/>
      <c r="G18" s="9" t="inlineStr">
        <is>
          <t>https://alanol.pt/img/products/amt.png</t>
        </is>
      </c>
      <c r="H18" s="9" t="inlineStr">
        <is>
          <t>produtos/amt-att.html</t>
        </is>
      </c>
      <c r="I18" s="8" t="inlineStr">
        <is>
          <t>Qmax: 25 m³/h · Hmax: 18 m · Trituradora</t>
        </is>
      </c>
      <c r="J18" s="8" t="inlineStr"/>
      <c r="K18" s="8" t="inlineStr">
        <is>
          <t>Água Suja, Drenagem, Fossa</t>
        </is>
      </c>
      <c r="L18" s="10">
        <f>IF(ISNUMBER(SEARCH("Solar",K18)),"Sim","Não")</f>
        <v/>
      </c>
      <c r="M18" s="4" t="n">
        <v>99</v>
      </c>
      <c r="N18" s="4" t="inlineStr">
        <is>
          <t>Sim</t>
        </is>
      </c>
      <c r="O18" s="10">
        <f>LOWER(SUBSTITUTE(SUBSTITUTE(B18," ","-"),"®",""))</f>
        <v/>
      </c>
      <c r="P18" s="10">
        <f>B18&amp;" | Alanol"</f>
        <v/>
      </c>
      <c r="Q18" s="10">
        <f>LEFT(J18&amp;" "&amp;I18,155)</f>
        <v/>
      </c>
    </row>
    <row r="19">
      <c r="A19" s="9" t="n">
        <v>4384</v>
      </c>
      <c r="B19" s="8" t="inlineStr">
        <is>
          <t>ALANOL® AM-B / AT-B</t>
        </is>
      </c>
      <c r="C19" s="8" t="inlineStr">
        <is>
          <t>poco</t>
        </is>
      </c>
      <c r="D19" s="8" t="n">
        <v>38.5</v>
      </c>
      <c r="E19" s="8" t="n">
        <v>45</v>
      </c>
      <c r="F19" s="8" t="n"/>
      <c r="G19" s="9" t="inlineStr">
        <is>
          <t>https://alanol.pt/img/products/amb.png</t>
        </is>
      </c>
      <c r="H19" s="9" t="inlineStr">
        <is>
          <t>produtos/am_at_b.html</t>
        </is>
      </c>
      <c r="I19" s="8" t="inlineStr">
        <is>
          <t>Qmax: 38,5 m³/h · Hmax: 45 m · Bombeiros</t>
        </is>
      </c>
      <c r="J19" s="8" t="inlineStr"/>
      <c r="K19" s="8" t="inlineStr">
        <is>
          <t>Água Suja, Construção, Pedreiras</t>
        </is>
      </c>
      <c r="L19" s="10">
        <f>IF(ISNUMBER(SEARCH("Solar",K19)),"Sim","Não")</f>
        <v/>
      </c>
      <c r="M19" s="4" t="n">
        <v>99</v>
      </c>
      <c r="N19" s="4" t="inlineStr">
        <is>
          <t>Sim</t>
        </is>
      </c>
      <c r="O19" s="10">
        <f>LOWER(SUBSTITUTE(SUBSTITUTE(B19," ","-"),"®",""))</f>
        <v/>
      </c>
      <c r="P19" s="10">
        <f>B19&amp;" | Alanol"</f>
        <v/>
      </c>
      <c r="Q19" s="10">
        <f>LEFT(J19&amp;" "&amp;I19,155)</f>
        <v/>
      </c>
    </row>
    <row r="20">
      <c r="A20" s="9" t="n">
        <v>11914</v>
      </c>
      <c r="B20" s="8" t="inlineStr">
        <is>
          <t>EGN — INOX</t>
        </is>
      </c>
      <c r="C20" s="8" t="inlineStr">
        <is>
          <t>poco</t>
        </is>
      </c>
      <c r="D20" s="8" t="n">
        <v>30</v>
      </c>
      <c r="E20" s="8" t="n">
        <v>20</v>
      </c>
      <c r="F20" s="8" t="n">
        <v>1.1</v>
      </c>
      <c r="G20" s="9" t="inlineStr">
        <is>
          <t>https://alanol.pt/img/products/egn.png</t>
        </is>
      </c>
      <c r="H20" s="9" t="inlineStr">
        <is>
          <t>produtos/egn.html</t>
        </is>
      </c>
      <c r="I20" s="8" t="inlineStr">
        <is>
          <t>Q: 30 m³/h · H: 20 m · Drenagem INOX</t>
        </is>
      </c>
      <c r="J20" s="8" t="inlineStr"/>
      <c r="K20" s="8" t="inlineStr">
        <is>
          <t>Água Suja, Drenagem, Solar</t>
        </is>
      </c>
      <c r="L20" s="10">
        <f>IF(ISNUMBER(SEARCH("Solar",K20)),"Sim","Não")</f>
        <v/>
      </c>
      <c r="M20" s="4" t="n">
        <v>99</v>
      </c>
      <c r="N20" s="4" t="inlineStr">
        <is>
          <t>Sim</t>
        </is>
      </c>
      <c r="O20" s="10">
        <f>LOWER(SUBSTITUTE(SUBSTITUTE(B20," ","-"),"®",""))</f>
        <v/>
      </c>
      <c r="P20" s="10">
        <f>B20&amp;" | Alanol"</f>
        <v/>
      </c>
      <c r="Q20" s="10">
        <f>LEFT(J20&amp;" "&amp;I20,155)</f>
        <v/>
      </c>
    </row>
    <row r="21">
      <c r="A21" s="9" t="n">
        <v>11921</v>
      </c>
      <c r="B21" s="8" t="inlineStr">
        <is>
          <t>EGT / EGF — INOX</t>
        </is>
      </c>
      <c r="C21" s="8" t="inlineStr">
        <is>
          <t>poco</t>
        </is>
      </c>
      <c r="D21" s="8" t="n">
        <v>36</v>
      </c>
      <c r="E21" s="8" t="n">
        <v>15</v>
      </c>
      <c r="F21" s="8" t="n">
        <v>1.5</v>
      </c>
      <c r="G21" s="9" t="inlineStr">
        <is>
          <t>https://alanol.pt/img/products/egtegf.png</t>
        </is>
      </c>
      <c r="H21" s="9" t="inlineStr">
        <is>
          <t>produtos/egt-egf.html</t>
        </is>
      </c>
      <c r="I21" s="8" t="inlineStr">
        <is>
          <t>Q: 36 m³/h · Sólidos até 50mm</t>
        </is>
      </c>
      <c r="J21" s="8" t="inlineStr"/>
      <c r="K21" s="8" t="inlineStr">
        <is>
          <t>Água Suja, Drenagem, Construção, Pedreiras, Solar</t>
        </is>
      </c>
      <c r="L21" s="10">
        <f>IF(ISNUMBER(SEARCH("Solar",K21)),"Sim","Não")</f>
        <v/>
      </c>
      <c r="M21" s="4" t="n">
        <v>99</v>
      </c>
      <c r="N21" s="4" t="inlineStr">
        <is>
          <t>Sim</t>
        </is>
      </c>
      <c r="O21" s="10">
        <f>LOWER(SUBSTITUTE(SUBSTITUTE(B21," ","-"),"®",""))</f>
        <v/>
      </c>
      <c r="P21" s="10">
        <f>B21&amp;" | Alanol"</f>
        <v/>
      </c>
      <c r="Q21" s="10">
        <f>LEFT(J21&amp;" "&amp;I21,155)</f>
        <v/>
      </c>
    </row>
    <row r="22">
      <c r="A22" s="9" t="n">
        <v>6635</v>
      </c>
      <c r="B22" s="8" t="inlineStr">
        <is>
          <t>ED / EDV — INOX</t>
        </is>
      </c>
      <c r="C22" s="8" t="inlineStr">
        <is>
          <t>poco</t>
        </is>
      </c>
      <c r="D22" s="8" t="n">
        <v>26</v>
      </c>
      <c r="E22" s="8" t="n">
        <v>13</v>
      </c>
      <c r="F22" s="8" t="n">
        <v>0.9</v>
      </c>
      <c r="G22" s="9" t="inlineStr">
        <is>
          <t>https://alanol.pt/img/products/ededv.png</t>
        </is>
      </c>
      <c r="H22" s="9" t="inlineStr">
        <is>
          <t>produtos/ed-edv.html</t>
        </is>
      </c>
      <c r="I22" s="8" t="inlineStr">
        <is>
          <t>Qmax: 26 m³/h · Sólidos até 35mm</t>
        </is>
      </c>
      <c r="J22" s="8" t="inlineStr"/>
      <c r="K22" s="8" t="inlineStr">
        <is>
          <t>Água Suja, Drenagem, Fossa, Pedreiras, Construção, Solar</t>
        </is>
      </c>
      <c r="L22" s="10">
        <f>IF(ISNUMBER(SEARCH("Solar",K22)),"Sim","Não")</f>
        <v/>
      </c>
      <c r="M22" s="4" t="n">
        <v>99</v>
      </c>
      <c r="N22" s="4" t="inlineStr">
        <is>
          <t>Sim</t>
        </is>
      </c>
      <c r="O22" s="10">
        <f>LOWER(SUBSTITUTE(SUBSTITUTE(B22," ","-"),"®",""))</f>
        <v/>
      </c>
      <c r="P22" s="10">
        <f>B22&amp;" | Alanol"</f>
        <v/>
      </c>
      <c r="Q22" s="10">
        <f>LEFT(J22&amp;" "&amp;I22,155)</f>
        <v/>
      </c>
    </row>
    <row r="23">
      <c r="A23" s="9" t="n">
        <v>4441</v>
      </c>
      <c r="B23" s="8" t="inlineStr">
        <is>
          <t>EH — Horizontais multiestágio</t>
        </is>
      </c>
      <c r="C23" s="8" t="inlineStr">
        <is>
          <t>superficie</t>
        </is>
      </c>
      <c r="D23" s="8" t="n">
        <v>29</v>
      </c>
      <c r="E23" s="8" t="n">
        <v>104</v>
      </c>
      <c r="F23" s="8" t="n">
        <v>15</v>
      </c>
      <c r="G23" s="9" t="inlineStr">
        <is>
          <t>https://alanol.pt/img/products/eh.png</t>
        </is>
      </c>
      <c r="H23" s="9" t="inlineStr">
        <is>
          <t>produtos/eh.html</t>
        </is>
      </c>
      <c r="I23" s="8" t="inlineStr">
        <is>
          <t>Q: 14 m³/h · H: 110 m · INOX</t>
        </is>
      </c>
      <c r="J23" s="8" t="inlineStr"/>
      <c r="K23" s="8" t="inlineStr">
        <is>
          <t>Água Limpa, Pressurização Unifamiliar, Pressurização Edifícios, HVAC / AVAC, Solar</t>
        </is>
      </c>
      <c r="L23" s="10">
        <f>IF(ISNUMBER(SEARCH("Solar",K23)),"Sim","Não")</f>
        <v/>
      </c>
      <c r="M23" s="4" t="n">
        <v>99</v>
      </c>
      <c r="N23" s="4" t="inlineStr">
        <is>
          <t>Sim</t>
        </is>
      </c>
      <c r="O23" s="10">
        <f>LOWER(SUBSTITUTE(SUBSTITUTE(B23," ","-"),"®",""))</f>
        <v/>
      </c>
      <c r="P23" s="10">
        <f>B23&amp;" | Alanol"</f>
        <v/>
      </c>
      <c r="Q23" s="10">
        <f>LEFT(J23&amp;" "&amp;I23,155)</f>
        <v/>
      </c>
    </row>
    <row r="24">
      <c r="A24" s="9" t="n">
        <v>4457</v>
      </c>
      <c r="B24" s="8" t="inlineStr">
        <is>
          <t>EV — Verticais multiestágio</t>
        </is>
      </c>
      <c r="C24" s="8" t="inlineStr">
        <is>
          <t>superficie</t>
        </is>
      </c>
      <c r="D24" s="8" t="n">
        <v>120</v>
      </c>
      <c r="E24" s="8" t="n">
        <v>320</v>
      </c>
      <c r="F24" s="8" t="n">
        <v>45</v>
      </c>
      <c r="G24" s="9" t="inlineStr">
        <is>
          <t>https://alanol.pt/img/products/ev.png</t>
        </is>
      </c>
      <c r="H24" s="9" t="inlineStr">
        <is>
          <t>produtos/ev.html</t>
        </is>
      </c>
      <c r="I24" s="8" t="inlineStr">
        <is>
          <t>Q: 120 m³/h · H: 320 m · INOX</t>
        </is>
      </c>
      <c r="J24" s="8" t="inlineStr"/>
      <c r="K24" s="8" t="inlineStr">
        <is>
          <t>Água Limpa, Pressurização Edifícios, Rega Agrícola, HVAC / AVAC, Solar</t>
        </is>
      </c>
      <c r="L24" s="10">
        <f>IF(ISNUMBER(SEARCH("Solar",K24)),"Sim","Não")</f>
        <v/>
      </c>
      <c r="M24" s="4" t="n">
        <v>99</v>
      </c>
      <c r="N24" s="4" t="inlineStr">
        <is>
          <t>Sim</t>
        </is>
      </c>
      <c r="O24" s="10">
        <f>LOWER(SUBSTITUTE(SUBSTITUTE(B24," ","-"),"®",""))</f>
        <v/>
      </c>
      <c r="P24" s="10">
        <f>B24&amp;" | Alanol"</f>
        <v/>
      </c>
      <c r="Q24" s="10">
        <f>LEFT(J24&amp;" "&amp;I24,155)</f>
        <v/>
      </c>
    </row>
    <row r="25">
      <c r="A25" s="9" t="n">
        <v>7267</v>
      </c>
      <c r="B25" s="8" t="inlineStr">
        <is>
          <t>FNC — Monobloco</t>
        </is>
      </c>
      <c r="C25" s="8" t="inlineStr">
        <is>
          <t>superficie</t>
        </is>
      </c>
      <c r="D25" s="8" t="n"/>
      <c r="E25" s="8" t="n"/>
      <c r="F25" s="8" t="n"/>
      <c r="G25" s="9" t="inlineStr">
        <is>
          <t>https://alanol.pt/img/products/fnc.png</t>
        </is>
      </c>
      <c r="H25" s="9" t="inlineStr">
        <is>
          <t>produtos/fnc.html</t>
        </is>
      </c>
      <c r="I25" s="8" t="inlineStr">
        <is>
          <t>Monobloco de superfície · Anti-corrosão</t>
        </is>
      </c>
      <c r="J25" s="8" t="inlineStr"/>
      <c r="K25" s="8" t="inlineStr">
        <is>
          <t>Água Limpa, Rega Residencial, Pressurização Unifamiliar, Solar</t>
        </is>
      </c>
      <c r="L25" s="10">
        <f>IF(ISNUMBER(SEARCH("Solar",K25)),"Sim","Não")</f>
        <v/>
      </c>
      <c r="M25" s="4" t="n">
        <v>99</v>
      </c>
      <c r="N25" s="4" t="inlineStr">
        <is>
          <t>Sim</t>
        </is>
      </c>
      <c r="O25" s="10">
        <f>LOWER(SUBSTITUTE(SUBSTITUTE(B25," ","-"),"®",""))</f>
        <v/>
      </c>
      <c r="P25" s="10">
        <f>B25&amp;" | Alanol"</f>
        <v/>
      </c>
      <c r="Q25" s="10">
        <f>LEFT(J25&amp;" "&amp;I25,155)</f>
        <v/>
      </c>
    </row>
    <row r="26">
      <c r="A26" s="9" t="n">
        <v>4443</v>
      </c>
      <c r="B26" s="8" t="inlineStr">
        <is>
          <t>SWT — Piscina</t>
        </is>
      </c>
      <c r="C26" s="8" t="inlineStr">
        <is>
          <t>superficie</t>
        </is>
      </c>
      <c r="D26" s="8" t="n">
        <v>34</v>
      </c>
      <c r="E26" s="8" t="n">
        <v>24</v>
      </c>
      <c r="F26" s="8" t="n">
        <v>2.2</v>
      </c>
      <c r="G26" s="9" t="inlineStr">
        <is>
          <t>https://alanol.pt/img/products/swt.png</t>
        </is>
      </c>
      <c r="H26" s="9" t="inlineStr">
        <is>
          <t>produtos/swt.html</t>
        </is>
      </c>
      <c r="I26" s="8" t="inlineStr">
        <is>
          <t>Qmax: 34 m³/h · Hmax: 24 m · Filtro incorporado</t>
        </is>
      </c>
      <c r="J26" s="8" t="inlineStr"/>
      <c r="K26" s="8" t="inlineStr">
        <is>
          <t>Água Limpa</t>
        </is>
      </c>
      <c r="L26" s="10">
        <f>IF(ISNUMBER(SEARCH("Solar",K26)),"Sim","Não")</f>
        <v/>
      </c>
      <c r="M26" s="4" t="n">
        <v>99</v>
      </c>
      <c r="N26" s="4" t="inlineStr">
        <is>
          <t>Sim</t>
        </is>
      </c>
      <c r="O26" s="10">
        <f>LOWER(SUBSTITUTE(SUBSTITUTE(B26," ","-"),"®",""))</f>
        <v/>
      </c>
      <c r="P26" s="10">
        <f>B26&amp;" | Alanol"</f>
        <v/>
      </c>
      <c r="Q26" s="10">
        <f>LEFT(J26&amp;" "&amp;I26,155)</f>
        <v/>
      </c>
    </row>
    <row r="27">
      <c r="A27" s="9" t="n">
        <v>4483</v>
      </c>
      <c r="B27" s="8" t="inlineStr">
        <is>
          <t>Grupo EH24</t>
        </is>
      </c>
      <c r="C27" s="8" t="inlineStr">
        <is>
          <t>superficie</t>
        </is>
      </c>
      <c r="D27" s="8" t="n">
        <v>29</v>
      </c>
      <c r="E27" s="8" t="n">
        <v>104</v>
      </c>
      <c r="F27" s="8" t="n">
        <v>15</v>
      </c>
      <c r="G27" s="9" t="inlineStr">
        <is>
          <t>https://alanol.pt/img/products/eh24.png</t>
        </is>
      </c>
      <c r="H27" s="9" t="inlineStr">
        <is>
          <t>produtos/eh24.html</t>
        </is>
      </c>
      <c r="I27" s="8" t="inlineStr">
        <is>
          <t>Qmax: 7,5 m³/h · Hmax: 104 m</t>
        </is>
      </c>
      <c r="J27" s="8" t="inlineStr"/>
      <c r="K27" s="8" t="inlineStr">
        <is>
          <t>Água Limpa, Pressurização Unifamiliar, HVAC / AVAC, Solar</t>
        </is>
      </c>
      <c r="L27" s="10">
        <f>IF(ISNUMBER(SEARCH("Solar",K27)),"Sim","Não")</f>
        <v/>
      </c>
      <c r="M27" s="4" t="n">
        <v>99</v>
      </c>
      <c r="N27" s="4" t="inlineStr">
        <is>
          <t>Sim</t>
        </is>
      </c>
      <c r="O27" s="10">
        <f>LOWER(SUBSTITUTE(SUBSTITUTE(B27," ","-"),"®",""))</f>
        <v/>
      </c>
      <c r="P27" s="10">
        <f>B27&amp;" | Alanol"</f>
        <v/>
      </c>
      <c r="Q27" s="10">
        <f>LEFT(J27&amp;" "&amp;I27,155)</f>
        <v/>
      </c>
    </row>
    <row r="28">
      <c r="A28" s="9" t="n">
        <v>4479</v>
      </c>
      <c r="B28" s="8" t="inlineStr">
        <is>
          <t>Grupo EH60</t>
        </is>
      </c>
      <c r="C28" s="8" t="inlineStr">
        <is>
          <t>superficie</t>
        </is>
      </c>
      <c r="D28" s="8" t="n">
        <v>29</v>
      </c>
      <c r="E28" s="8" t="n">
        <v>104</v>
      </c>
      <c r="F28" s="8" t="n">
        <v>15</v>
      </c>
      <c r="G28" s="9" t="inlineStr">
        <is>
          <t>https://alanol.pt/img/products/eh60.png</t>
        </is>
      </c>
      <c r="H28" s="9" t="inlineStr">
        <is>
          <t>produtos/eh-60.html</t>
        </is>
      </c>
      <c r="I28" s="8" t="inlineStr">
        <is>
          <t>Qmax: 7 m³/h · Hmax: 104 m</t>
        </is>
      </c>
      <c r="J28" s="8" t="inlineStr"/>
      <c r="K28" s="8" t="inlineStr">
        <is>
          <t>Água Limpa, Pressurização Unifamiliar, HVAC / AVAC, Solar</t>
        </is>
      </c>
      <c r="L28" s="10">
        <f>IF(ISNUMBER(SEARCH("Solar",K28)),"Sim","Não")</f>
        <v/>
      </c>
      <c r="M28" s="4" t="n">
        <v>99</v>
      </c>
      <c r="N28" s="4" t="inlineStr">
        <is>
          <t>Sim</t>
        </is>
      </c>
      <c r="O28" s="10">
        <f>LOWER(SUBSTITUTE(SUBSTITUTE(B28," ","-"),"®",""))</f>
        <v/>
      </c>
      <c r="P28" s="10">
        <f>B28&amp;" | Alanol"</f>
        <v/>
      </c>
      <c r="Q28" s="10">
        <f>LEFT(J28&amp;" "&amp;I28,155)</f>
        <v/>
      </c>
    </row>
    <row r="29">
      <c r="A29" s="9" t="n">
        <v>4493</v>
      </c>
      <c r="B29" s="8" t="inlineStr">
        <is>
          <t>Grupo EH B2</t>
        </is>
      </c>
      <c r="C29" s="8" t="inlineStr">
        <is>
          <t>superficie</t>
        </is>
      </c>
      <c r="D29" s="8" t="n">
        <v>29</v>
      </c>
      <c r="E29" s="8" t="n">
        <v>104</v>
      </c>
      <c r="F29" s="8" t="n">
        <v>15</v>
      </c>
      <c r="G29" s="9" t="inlineStr">
        <is>
          <t>https://alanol.pt/img/products/ehb2.png</t>
        </is>
      </c>
      <c r="H29" s="9" t="inlineStr">
        <is>
          <t>produtos/eh-b2.html</t>
        </is>
      </c>
      <c r="I29" s="8" t="inlineStr">
        <is>
          <t>Qmax: 7 m³/h · Arranque automático</t>
        </is>
      </c>
      <c r="J29" s="8" t="inlineStr"/>
      <c r="K29" s="8" t="inlineStr">
        <is>
          <t>Água Limpa, Pressurização Unifamiliar, HVAC / AVAC, Solar</t>
        </is>
      </c>
      <c r="L29" s="10">
        <f>IF(ISNUMBER(SEARCH("Solar",K29)),"Sim","Não")</f>
        <v/>
      </c>
      <c r="M29" s="4" t="n">
        <v>99</v>
      </c>
      <c r="N29" s="4" t="inlineStr">
        <is>
          <t>Sim</t>
        </is>
      </c>
      <c r="O29" s="10">
        <f>LOWER(SUBSTITUTE(SUBSTITUTE(B29," ","-"),"®",""))</f>
        <v/>
      </c>
      <c r="P29" s="10">
        <f>B29&amp;" | Alanol"</f>
        <v/>
      </c>
      <c r="Q29" s="10">
        <f>LEFT(J29&amp;" "&amp;I29,155)</f>
        <v/>
      </c>
    </row>
    <row r="30">
      <c r="A30" s="9" t="n">
        <v>4469</v>
      </c>
      <c r="B30" s="8" t="inlineStr">
        <is>
          <t>Central EV</t>
        </is>
      </c>
      <c r="C30" s="8" t="inlineStr">
        <is>
          <t>superficie</t>
        </is>
      </c>
      <c r="D30" s="8" t="n">
        <v>120</v>
      </c>
      <c r="E30" s="8" t="n">
        <v>320</v>
      </c>
      <c r="F30" s="8" t="n">
        <v>45</v>
      </c>
      <c r="G30" s="9" t="inlineStr">
        <is>
          <t>https://alanol.pt/img/products/cev.png</t>
        </is>
      </c>
      <c r="H30" s="9" t="inlineStr">
        <is>
          <t>produtos/centrais-ev.html</t>
        </is>
      </c>
      <c r="I30" s="8" t="inlineStr">
        <is>
          <t>Qmax: 240 m³/h · Hmax: 320 m</t>
        </is>
      </c>
      <c r="J30" s="8" t="inlineStr"/>
      <c r="K30" s="8" t="inlineStr">
        <is>
          <t>Água Limpa, Pressurização Edifícios, Rega Agrícola, HVAC / AVAC, Solar</t>
        </is>
      </c>
      <c r="L30" s="10">
        <f>IF(ISNUMBER(SEARCH("Solar",K30)),"Sim","Não")</f>
        <v/>
      </c>
      <c r="M30" s="4" t="n">
        <v>99</v>
      </c>
      <c r="N30" s="4" t="inlineStr">
        <is>
          <t>Sim</t>
        </is>
      </c>
      <c r="O30" s="10">
        <f>LOWER(SUBSTITUTE(SUBSTITUTE(B30," ","-"),"®",""))</f>
        <v/>
      </c>
      <c r="P30" s="10">
        <f>B30&amp;" | Alanol"</f>
        <v/>
      </c>
      <c r="Q30" s="10">
        <f>LEFT(J30&amp;" "&amp;I30,155)</f>
        <v/>
      </c>
    </row>
    <row r="31">
      <c r="A31" s="9" t="n">
        <v>4499</v>
      </c>
      <c r="B31" s="8" t="inlineStr">
        <is>
          <t>Central EH230</t>
        </is>
      </c>
      <c r="C31" s="8" t="inlineStr">
        <is>
          <t>superficie</t>
        </is>
      </c>
      <c r="D31" s="8" t="n">
        <v>29</v>
      </c>
      <c r="E31" s="8" t="n">
        <v>104</v>
      </c>
      <c r="F31" s="8" t="n">
        <v>15</v>
      </c>
      <c r="G31" s="9" t="inlineStr">
        <is>
          <t>https://alanol.pt/img/products/eh230.png</t>
        </is>
      </c>
      <c r="H31" s="9" t="inlineStr">
        <is>
          <t>produtos/central-inteligente-eh-se230.html</t>
        </is>
      </c>
      <c r="I31" s="8" t="inlineStr">
        <is>
          <t>Variadores integrados · Pressão constante</t>
        </is>
      </c>
      <c r="J31" s="8" t="inlineStr"/>
      <c r="K31" s="8" t="inlineStr">
        <is>
          <t>Água Limpa, Pressurização Edifícios, Pressurização Unifamiliar, HVAC / AVAC, Solar</t>
        </is>
      </c>
      <c r="L31" s="10">
        <f>IF(ISNUMBER(SEARCH("Solar",K31)),"Sim","Não")</f>
        <v/>
      </c>
      <c r="M31" s="4" t="n">
        <v>99</v>
      </c>
      <c r="N31" s="4" t="inlineStr">
        <is>
          <t>Sim</t>
        </is>
      </c>
      <c r="O31" s="10">
        <f>LOWER(SUBSTITUTE(SUBSTITUTE(B31," ","-"),"®",""))</f>
        <v/>
      </c>
      <c r="P31" s="10">
        <f>B31&amp;" | Alanol"</f>
        <v/>
      </c>
      <c r="Q31" s="10">
        <f>LEFT(J31&amp;" "&amp;I31,155)</f>
        <v/>
      </c>
    </row>
    <row r="32">
      <c r="A32" s="9" t="n">
        <v>4508</v>
      </c>
      <c r="B32" s="8" t="inlineStr">
        <is>
          <t>Central EH BT</t>
        </is>
      </c>
      <c r="C32" s="8" t="inlineStr">
        <is>
          <t>superficie</t>
        </is>
      </c>
      <c r="D32" s="8" t="n">
        <v>29</v>
      </c>
      <c r="E32" s="8" t="n">
        <v>104</v>
      </c>
      <c r="F32" s="8" t="n">
        <v>15</v>
      </c>
      <c r="G32" s="9" t="inlineStr">
        <is>
          <t>https://alanol.pt/img/products/ehbt.png</t>
        </is>
      </c>
      <c r="H32" s="9" t="inlineStr">
        <is>
          <t>produtos/centrais-eh-bt.html</t>
        </is>
      </c>
      <c r="I32" s="8" t="inlineStr">
        <is>
          <t>Qmax: 15 m³/h · Hmax: 104 m</t>
        </is>
      </c>
      <c r="J32" s="8" t="inlineStr"/>
      <c r="K32" s="8" t="inlineStr">
        <is>
          <t>Água Limpa, Pressurização Unifamiliar, HVAC / AVAC, Solar</t>
        </is>
      </c>
      <c r="L32" s="10">
        <f>IF(ISNUMBER(SEARCH("Solar",K32)),"Sim","Não")</f>
        <v/>
      </c>
      <c r="M32" s="4" t="n">
        <v>99</v>
      </c>
      <c r="N32" s="4" t="inlineStr">
        <is>
          <t>Sim</t>
        </is>
      </c>
      <c r="O32" s="10">
        <f>LOWER(SUBSTITUTE(SUBSTITUTE(B32," ","-"),"®",""))</f>
        <v/>
      </c>
      <c r="P32" s="10">
        <f>B32&amp;" | Alanol"</f>
        <v/>
      </c>
      <c r="Q32" s="10">
        <f>LEFT(J32&amp;" "&amp;I32,155)</f>
        <v/>
      </c>
    </row>
    <row r="33">
      <c r="A33" s="9" t="n">
        <v>4472</v>
      </c>
      <c r="B33" s="8" t="inlineStr">
        <is>
          <t>Central VL</t>
        </is>
      </c>
      <c r="C33" s="8" t="inlineStr">
        <is>
          <t>superficie</t>
        </is>
      </c>
      <c r="D33" s="8" t="n">
        <v>24</v>
      </c>
      <c r="E33" s="8" t="n">
        <v>104</v>
      </c>
      <c r="F33" s="8" t="n"/>
      <c r="G33" s="9" t="inlineStr">
        <is>
          <t>https://alanol.pt/img/products/cvl.png</t>
        </is>
      </c>
      <c r="H33" s="9" t="inlineStr">
        <is>
          <t>produtos/centrais-vl.html</t>
        </is>
      </c>
      <c r="I33" s="8" t="inlineStr">
        <is>
          <t>Qmax: 24 m³/h · Hmax: 104 m</t>
        </is>
      </c>
      <c r="J33" s="8" t="inlineStr"/>
      <c r="K33" s="8" t="inlineStr">
        <is>
          <t>Água Limpa, Pressurização Unifamiliar, Pressurização Edifícios, HVAC / AVAC, Solar</t>
        </is>
      </c>
      <c r="L33" s="10">
        <f>IF(ISNUMBER(SEARCH("Solar",K33)),"Sim","Não")</f>
        <v/>
      </c>
      <c r="M33" s="4" t="n">
        <v>99</v>
      </c>
      <c r="N33" s="4" t="inlineStr">
        <is>
          <t>Sim</t>
        </is>
      </c>
      <c r="O33" s="10">
        <f>LOWER(SUBSTITUTE(SUBSTITUTE(B33," ","-"),"®",""))</f>
        <v/>
      </c>
      <c r="P33" s="10">
        <f>B33&amp;" | Alanol"</f>
        <v/>
      </c>
      <c r="Q33" s="10">
        <f>LEFT(J33&amp;" "&amp;I33,155)</f>
        <v/>
      </c>
    </row>
    <row r="34">
      <c r="A34" s="9" t="n">
        <v>10324</v>
      </c>
      <c r="B34" s="8" t="inlineStr">
        <is>
          <t>Kits Bombagem Solar</t>
        </is>
      </c>
      <c r="C34" s="8" t="inlineStr">
        <is>
          <t>solar</t>
        </is>
      </c>
      <c r="D34" s="8" t="n">
        <v>24</v>
      </c>
      <c r="E34" s="8" t="n">
        <v>345</v>
      </c>
      <c r="F34" s="8" t="n"/>
      <c r="G34" s="9" t="inlineStr">
        <is>
          <t>https://alanol.pt/img/products/solar.webp</t>
        </is>
      </c>
      <c r="H34" s="9" t="inlineStr">
        <is>
          <t>produtos/kits-de-bombagem-solar.html</t>
        </is>
      </c>
      <c r="I34" s="8" t="inlineStr">
        <is>
          <t>Q: 24 m³/h · H: 345 m · Kit completo</t>
        </is>
      </c>
      <c r="J34" s="8" t="inlineStr"/>
      <c r="K34" s="8" t="inlineStr">
        <is>
          <t>Água Limpa, Rega Agrícola, Rega Residencial, Campos Desportivos</t>
        </is>
      </c>
      <c r="L34" s="10">
        <f>IF(ISNUMBER(SEARCH("Solar",K34)),"Sim","Não")</f>
        <v/>
      </c>
      <c r="M34" s="4" t="n">
        <v>99</v>
      </c>
      <c r="N34" s="4" t="inlineStr">
        <is>
          <t>Sim</t>
        </is>
      </c>
      <c r="O34" s="10">
        <f>LOWER(SUBSTITUTE(SUBSTITUTE(B34," ","-"),"®",""))</f>
        <v/>
      </c>
      <c r="P34" s="10">
        <f>B34&amp;" | Alanol"</f>
        <v/>
      </c>
      <c r="Q34" s="10">
        <f>LEFT(J34&amp;" "&amp;I34,155)</f>
        <v/>
      </c>
    </row>
    <row r="35">
      <c r="A35" s="9" t="n">
        <v>11503</v>
      </c>
      <c r="B35" s="8" t="inlineStr">
        <is>
          <t>Drive-Tech® Mini Solar MP</t>
        </is>
      </c>
      <c r="C35" s="8" t="inlineStr">
        <is>
          <t>solar</t>
        </is>
      </c>
      <c r="D35" s="8" t="n"/>
      <c r="E35" s="8" t="n"/>
      <c r="F35" s="8" t="n">
        <v>1.5</v>
      </c>
      <c r="G35" s="9" t="inlineStr">
        <is>
          <t>https://alanol.pt/img/products/drive-tech-mini.png</t>
        </is>
      </c>
      <c r="H35" s="9" t="inlineStr">
        <is>
          <t>produtos/controlador-solar-drive-tech.html</t>
        </is>
      </c>
      <c r="I35" s="8" t="inlineStr">
        <is>
          <t>3×230V · Max 1,5 kW · Bluetooth</t>
        </is>
      </c>
      <c r="J35" s="8" t="inlineStr"/>
      <c r="K35" s="8" t="inlineStr">
        <is>
          <t>Água Limpa, Rega Agrícola, Rega Residencial, Campos Desportivos</t>
        </is>
      </c>
      <c r="L35" s="10">
        <f>IF(ISNUMBER(SEARCH("Solar",K35)),"Sim","Não")</f>
        <v/>
      </c>
      <c r="M35" s="4" t="n">
        <v>99</v>
      </c>
      <c r="N35" s="4" t="inlineStr">
        <is>
          <t>Sim</t>
        </is>
      </c>
      <c r="O35" s="10">
        <f>LOWER(SUBSTITUTE(SUBSTITUTE(B35," ","-"),"®",""))</f>
        <v/>
      </c>
      <c r="P35" s="10">
        <f>B35&amp;" | Alanol"</f>
        <v/>
      </c>
      <c r="Q35" s="10">
        <f>LEFT(J35&amp;" "&amp;I35,155)</f>
        <v/>
      </c>
    </row>
    <row r="36">
      <c r="A36" s="9" t="n">
        <v>11504</v>
      </c>
      <c r="B36" s="8" t="inlineStr">
        <is>
          <t>Drive-Tech® Solar</t>
        </is>
      </c>
      <c r="C36" s="8" t="inlineStr">
        <is>
          <t>solar</t>
        </is>
      </c>
      <c r="D36" s="8" t="n"/>
      <c r="E36" s="8" t="n"/>
      <c r="F36" s="8" t="n">
        <v>22</v>
      </c>
      <c r="G36" s="9" t="inlineStr">
        <is>
          <t>https://alanol.pt/img/products/dtech.png</t>
        </is>
      </c>
      <c r="H36" s="9" t="inlineStr">
        <is>
          <t>produtos/drive-tech-compact-solar.html</t>
        </is>
      </c>
      <c r="I36" s="8" t="inlineStr">
        <is>
          <t>até 22 kW · MPPT · 3×380-460 V · Bluetooth</t>
        </is>
      </c>
      <c r="J36" s="8" t="inlineStr"/>
      <c r="K36" s="8" t="inlineStr">
        <is>
          <t>Água Limpa, Rega Agrícola, Pressurização Edifícios, Campos Desportivos</t>
        </is>
      </c>
      <c r="L36" s="10">
        <f>IF(ISNUMBER(SEARCH("Solar",K36)),"Sim","Não")</f>
        <v/>
      </c>
      <c r="M36" s="4" t="n">
        <v>99</v>
      </c>
      <c r="N36" s="4" t="inlineStr">
        <is>
          <t>Sim</t>
        </is>
      </c>
      <c r="O36" s="10">
        <f>LOWER(SUBSTITUTE(SUBSTITUTE(B36," ","-"),"®",""))</f>
        <v/>
      </c>
      <c r="P36" s="10">
        <f>B36&amp;" | Alanol"</f>
        <v/>
      </c>
      <c r="Q36" s="10">
        <f>LEFT(J36&amp;" "&amp;I36,155)</f>
        <v/>
      </c>
    </row>
    <row r="37">
      <c r="A37" s="9" t="n">
        <v>4521</v>
      </c>
      <c r="B37" s="8" t="inlineStr">
        <is>
          <t>Depósito s/ Membrana INOX</t>
        </is>
      </c>
      <c r="C37" s="8" t="inlineStr">
        <is>
          <t>depositos</t>
        </is>
      </c>
      <c r="D37" s="8" t="n"/>
      <c r="E37" s="8" t="n"/>
      <c r="F37" s="8" t="n"/>
      <c r="G37" s="9" t="inlineStr">
        <is>
          <t>https://alanol.pt/img/products/dep1.png</t>
        </is>
      </c>
      <c r="H37" s="9" t="inlineStr">
        <is>
          <t>produtos/depositos-sem-membrana-em-inox.html</t>
        </is>
      </c>
      <c r="I37" s="8" t="inlineStr">
        <is>
          <t>100 a 1300 litros · INOX</t>
        </is>
      </c>
      <c r="J37" s="8" t="inlineStr"/>
      <c r="K37" s="8" t="inlineStr">
        <is>
          <t>Água Limpa, Pressurização Unifamiliar, Pressurização Edifícios, HVAC / AVAC</t>
        </is>
      </c>
      <c r="L37" s="10">
        <f>IF(ISNUMBER(SEARCH("Solar",K37)),"Sim","Não")</f>
        <v/>
      </c>
      <c r="M37" s="4" t="n">
        <v>99</v>
      </c>
      <c r="N37" s="4" t="inlineStr">
        <is>
          <t>Sim</t>
        </is>
      </c>
      <c r="O37" s="10">
        <f>LOWER(SUBSTITUTE(SUBSTITUTE(B37," ","-"),"®",""))</f>
        <v/>
      </c>
      <c r="P37" s="10">
        <f>B37&amp;" | Alanol"</f>
        <v/>
      </c>
      <c r="Q37" s="10">
        <f>LEFT(J37&amp;" "&amp;I37,155)</f>
        <v/>
      </c>
    </row>
    <row r="38">
      <c r="A38" s="9" t="n">
        <v>6783</v>
      </c>
      <c r="B38" s="8" t="inlineStr">
        <is>
          <t>Depósito c/ Membrana INOX</t>
        </is>
      </c>
      <c r="C38" s="8" t="inlineStr">
        <is>
          <t>depositos</t>
        </is>
      </c>
      <c r="D38" s="8" t="n"/>
      <c r="E38" s="8" t="n"/>
      <c r="F38" s="8" t="n"/>
      <c r="G38" s="9" t="inlineStr">
        <is>
          <t>https://alanol.pt/img/products/dep2.png</t>
        </is>
      </c>
      <c r="H38" s="9" t="inlineStr">
        <is>
          <t>produtos/depositos-com-membrana-inox.html</t>
        </is>
      </c>
      <c r="I38" s="8" t="inlineStr">
        <is>
          <t>24 a 500 litros · INOX</t>
        </is>
      </c>
      <c r="J38" s="8" t="inlineStr"/>
      <c r="K38" s="8" t="inlineStr">
        <is>
          <t>Água Limpa, Pressurização Unifamiliar, HVAC / AVAC</t>
        </is>
      </c>
      <c r="L38" s="10">
        <f>IF(ISNUMBER(SEARCH("Solar",K38)),"Sim","Não")</f>
        <v/>
      </c>
      <c r="M38" s="4" t="n">
        <v>99</v>
      </c>
      <c r="N38" s="4" t="inlineStr">
        <is>
          <t>Sim</t>
        </is>
      </c>
      <c r="O38" s="10">
        <f>LOWER(SUBSTITUTE(SUBSTITUTE(B38," ","-"),"®",""))</f>
        <v/>
      </c>
      <c r="P38" s="10">
        <f>B38&amp;" | Alanol"</f>
        <v/>
      </c>
      <c r="Q38" s="10">
        <f>LEFT(J38&amp;" "&amp;I38,155)</f>
        <v/>
      </c>
    </row>
    <row r="39">
      <c r="A39" s="9" t="n">
        <v>6926</v>
      </c>
      <c r="B39" s="8" t="inlineStr">
        <is>
          <t>Quadro Digital TPM6</t>
        </is>
      </c>
      <c r="C39" s="8" t="inlineStr">
        <is>
          <t>controlo</t>
        </is>
      </c>
      <c r="D39" s="8" t="n"/>
      <c r="E39" s="8" t="n"/>
      <c r="F39" s="8" t="n"/>
      <c r="G39" s="9" t="inlineStr">
        <is>
          <t>https://alanol.pt/img/products/tpm6.png</t>
        </is>
      </c>
      <c r="H39" s="9" t="inlineStr">
        <is>
          <t>produtos/tpm6.html</t>
        </is>
      </c>
      <c r="I39" s="8" t="inlineStr">
        <is>
          <t>Digital · Com ou sem sondas</t>
        </is>
      </c>
      <c r="J39" s="8" t="inlineStr"/>
      <c r="K39" s="8" t="inlineStr">
        <is>
          <t>Água Limpa, Água Suja, Pressurização Unifamiliar</t>
        </is>
      </c>
      <c r="L39" s="10">
        <f>IF(ISNUMBER(SEARCH("Solar",K39)),"Sim","Não")</f>
        <v/>
      </c>
      <c r="M39" s="4" t="n">
        <v>99</v>
      </c>
      <c r="N39" s="4" t="inlineStr">
        <is>
          <t>Sim</t>
        </is>
      </c>
      <c r="O39" s="10">
        <f>LOWER(SUBSTITUTE(SUBSTITUTE(B39," ","-"),"®",""))</f>
        <v/>
      </c>
      <c r="P39" s="10">
        <f>B39&amp;" | Alanol"</f>
        <v/>
      </c>
      <c r="Q39" s="10">
        <f>LEFT(J39&amp;" "&amp;I39,155)</f>
        <v/>
      </c>
    </row>
    <row r="40">
      <c r="A40" s="9" t="n">
        <v>6925</v>
      </c>
      <c r="B40" s="8" t="inlineStr">
        <is>
          <t>Quadro Digital PROBOMBA</t>
        </is>
      </c>
      <c r="C40" s="8" t="inlineStr">
        <is>
          <t>controlo</t>
        </is>
      </c>
      <c r="D40" s="8" t="n"/>
      <c r="E40" s="8" t="n"/>
      <c r="F40" s="8" t="n"/>
      <c r="G40" s="9" t="inlineStr">
        <is>
          <t>https://alanol.pt/img/products/probomba.png</t>
        </is>
      </c>
      <c r="H40" s="9" t="inlineStr">
        <is>
          <t>produtos/probomba.html</t>
        </is>
      </c>
      <c r="I40" s="8" t="inlineStr">
        <is>
          <t>Digital · Dispensa sondas</t>
        </is>
      </c>
      <c r="J40" s="8" t="inlineStr"/>
      <c r="K40" s="8" t="inlineStr">
        <is>
          <t>Água Limpa, Pressurização Unifamiliar, Pressurização Edifícios</t>
        </is>
      </c>
      <c r="L40" s="10">
        <f>IF(ISNUMBER(SEARCH("Solar",K40)),"Sim","Não")</f>
        <v/>
      </c>
      <c r="M40" s="4" t="n">
        <v>99</v>
      </c>
      <c r="N40" s="4" t="inlineStr">
        <is>
          <t>Sim</t>
        </is>
      </c>
      <c r="O40" s="10">
        <f>LOWER(SUBSTITUTE(SUBSTITUTE(B40," ","-"),"®",""))</f>
        <v/>
      </c>
      <c r="P40" s="10">
        <f>B40&amp;" | Alanol"</f>
        <v/>
      </c>
      <c r="Q40" s="10">
        <f>LEFT(J40&amp;" "&amp;I40,155)</f>
        <v/>
      </c>
    </row>
    <row r="41">
      <c r="A41" s="9" t="n">
        <v>6927</v>
      </c>
      <c r="B41" s="8" t="inlineStr">
        <is>
          <t>PROBOMBA Águas Residuais</t>
        </is>
      </c>
      <c r="C41" s="8" t="inlineStr">
        <is>
          <t>controlo</t>
        </is>
      </c>
      <c r="D41" s="8" t="n"/>
      <c r="E41" s="8" t="n"/>
      <c r="F41" s="8" t="n"/>
      <c r="G41" s="9" t="inlineStr">
        <is>
          <t>https://alanol.pt/img/products/probar.png</t>
        </is>
      </c>
      <c r="H41" s="9" t="inlineStr">
        <is>
          <t>produtos/probomba-ar.html</t>
        </is>
      </c>
      <c r="I41" s="8" t="inlineStr">
        <is>
          <t>Proteção e comando · Águas residuais</t>
        </is>
      </c>
      <c r="J41" s="8" t="inlineStr"/>
      <c r="K41" s="8" t="inlineStr">
        <is>
          <t>Água Suja, Drenagem, Fossa</t>
        </is>
      </c>
      <c r="L41" s="10">
        <f>IF(ISNUMBER(SEARCH("Solar",K41)),"Sim","Não")</f>
        <v/>
      </c>
      <c r="M41" s="4" t="n">
        <v>99</v>
      </c>
      <c r="N41" s="4" t="inlineStr">
        <is>
          <t>Sim</t>
        </is>
      </c>
      <c r="O41" s="10">
        <f>LOWER(SUBSTITUTE(SUBSTITUTE(B41," ","-"),"®",""))</f>
        <v/>
      </c>
      <c r="P41" s="10">
        <f>B41&amp;" | Alanol"</f>
        <v/>
      </c>
      <c r="Q41" s="10">
        <f>LEFT(J41&amp;" "&amp;I41,155)</f>
        <v/>
      </c>
    </row>
    <row r="42">
      <c r="A42" s="9" t="n">
        <v>6928</v>
      </c>
      <c r="B42" s="8" t="inlineStr">
        <is>
          <t>Quadro de Nível c/ Sondas</t>
        </is>
      </c>
      <c r="C42" s="8" t="inlineStr">
        <is>
          <t>controlo</t>
        </is>
      </c>
      <c r="D42" s="8" t="n"/>
      <c r="E42" s="8" t="n"/>
      <c r="F42" s="8" t="n"/>
      <c r="G42" s="9" t="inlineStr">
        <is>
          <t>https://alanol.pt/img/products/qnivel.png</t>
        </is>
      </c>
      <c r="H42" s="9" t="inlineStr">
        <is>
          <t>produtos/quadro-de-nivel.html</t>
        </is>
      </c>
      <c r="I42" s="8" t="inlineStr">
        <is>
          <t>Controlo por sondas hidrostáticas</t>
        </is>
      </c>
      <c r="J42" s="8" t="inlineStr"/>
      <c r="K42" s="8" t="inlineStr">
        <is>
          <t>Água Limpa, Água Suja, Drenagem</t>
        </is>
      </c>
      <c r="L42" s="10">
        <f>IF(ISNUMBER(SEARCH("Solar",K42)),"Sim","Não")</f>
        <v/>
      </c>
      <c r="M42" s="4" t="n">
        <v>99</v>
      </c>
      <c r="N42" s="4" t="inlineStr">
        <is>
          <t>Sim</t>
        </is>
      </c>
      <c r="O42" s="10">
        <f>LOWER(SUBSTITUTE(SUBSTITUTE(B42," ","-"),"®",""))</f>
        <v/>
      </c>
      <c r="P42" s="10">
        <f>B42&amp;" | Alanol"</f>
        <v/>
      </c>
      <c r="Q42" s="10">
        <f>LEFT(J42&amp;" "&amp;I42,155)</f>
        <v/>
      </c>
    </row>
    <row r="43">
      <c r="A43" s="9" t="n">
        <v>6929</v>
      </c>
      <c r="B43" s="8" t="inlineStr">
        <is>
          <t>Quadro Nível Poço/Depósito</t>
        </is>
      </c>
      <c r="C43" s="8" t="inlineStr">
        <is>
          <t>controlo</t>
        </is>
      </c>
      <c r="D43" s="8" t="n"/>
      <c r="E43" s="8" t="n"/>
      <c r="F43" s="8" t="n"/>
      <c r="G43" s="9" t="inlineStr">
        <is>
          <t>https://alanol.pt/img/products/qpocodep.png</t>
        </is>
      </c>
      <c r="H43" s="9" t="inlineStr">
        <is>
          <t>produtos/poco-deposito.html</t>
        </is>
      </c>
      <c r="I43" s="8" t="inlineStr">
        <is>
          <t>Schneider · Controlo poço e depósito</t>
        </is>
      </c>
      <c r="J43" s="8" t="inlineStr"/>
      <c r="K43" s="8" t="inlineStr">
        <is>
          <t>Água Limpa, Pressurização Unifamiliar</t>
        </is>
      </c>
      <c r="L43" s="10">
        <f>IF(ISNUMBER(SEARCH("Solar",K43)),"Sim","Não")</f>
        <v/>
      </c>
      <c r="M43" s="4" t="n">
        <v>99</v>
      </c>
      <c r="N43" s="4" t="inlineStr">
        <is>
          <t>Sim</t>
        </is>
      </c>
      <c r="O43" s="10">
        <f>LOWER(SUBSTITUTE(SUBSTITUTE(B43," ","-"),"®",""))</f>
        <v/>
      </c>
      <c r="P43" s="10">
        <f>B43&amp;" | Alanol"</f>
        <v/>
      </c>
      <c r="Q43" s="10">
        <f>LEFT(J43&amp;" "&amp;I43,155)</f>
        <v/>
      </c>
    </row>
    <row r="44">
      <c r="A44" s="9" t="n">
        <v>6930</v>
      </c>
      <c r="B44" s="8" t="inlineStr">
        <is>
          <t>Quadro de Alternância</t>
        </is>
      </c>
      <c r="C44" s="8" t="inlineStr">
        <is>
          <t>controlo</t>
        </is>
      </c>
      <c r="D44" s="8" t="n"/>
      <c r="E44" s="8" t="n"/>
      <c r="F44" s="8" t="n"/>
      <c r="G44" s="9" t="inlineStr">
        <is>
          <t>https://alanol.pt/img/products/qalt.png</t>
        </is>
      </c>
      <c r="H44" s="9" t="inlineStr">
        <is>
          <t>produtos/quadro-de-alternancia.html</t>
        </is>
      </c>
      <c r="I44" s="8" t="inlineStr">
        <is>
          <t>1×230V ou 3×380V · Automático</t>
        </is>
      </c>
      <c r="J44" s="8" t="inlineStr"/>
      <c r="K44" s="8" t="inlineStr">
        <is>
          <t>Água Limpa, Pressurização Edifícios</t>
        </is>
      </c>
      <c r="L44" s="10">
        <f>IF(ISNUMBER(SEARCH("Solar",K44)),"Sim","Não")</f>
        <v/>
      </c>
      <c r="M44" s="4" t="n">
        <v>99</v>
      </c>
      <c r="N44" s="4" t="inlineStr">
        <is>
          <t>Sim</t>
        </is>
      </c>
      <c r="O44" s="10">
        <f>LOWER(SUBSTITUTE(SUBSTITUTE(B44," ","-"),"®",""))</f>
        <v/>
      </c>
      <c r="P44" s="10">
        <f>B44&amp;" | Alanol"</f>
        <v/>
      </c>
      <c r="Q44" s="10">
        <f>LEFT(J44&amp;" "&amp;I44,155)</f>
        <v/>
      </c>
    </row>
    <row r="45">
      <c r="A45" s="9" t="n">
        <v>6931</v>
      </c>
      <c r="B45" s="8" t="inlineStr">
        <is>
          <t>Quadro Alternância c/ Alarme</t>
        </is>
      </c>
      <c r="C45" s="8" t="inlineStr">
        <is>
          <t>controlo</t>
        </is>
      </c>
      <c r="D45" s="8" t="n"/>
      <c r="E45" s="8" t="n"/>
      <c r="F45" s="8" t="n"/>
      <c r="G45" s="9" t="inlineStr">
        <is>
          <t>https://alanol.pt/img/products/qalt.png</t>
        </is>
      </c>
      <c r="H45" s="9" t="inlineStr">
        <is>
          <t>produtos/quaro-de-alternancia-alarme.html</t>
        </is>
      </c>
      <c r="I45" s="8" t="inlineStr">
        <is>
          <t>1×230V ou 3×380V · Alarme sonoro</t>
        </is>
      </c>
      <c r="J45" s="8" t="inlineStr"/>
      <c r="K45" s="8" t="inlineStr">
        <is>
          <t>Água Limpa, Pressurização Edifícios</t>
        </is>
      </c>
      <c r="L45" s="10">
        <f>IF(ISNUMBER(SEARCH("Solar",K45)),"Sim","Não")</f>
        <v/>
      </c>
      <c r="M45" s="4" t="n">
        <v>99</v>
      </c>
      <c r="N45" s="4" t="inlineStr">
        <is>
          <t>Sim</t>
        </is>
      </c>
      <c r="O45" s="10">
        <f>LOWER(SUBSTITUTE(SUBSTITUTE(B45," ","-"),"®",""))</f>
        <v/>
      </c>
      <c r="P45" s="10">
        <f>B45&amp;" | Alanol"</f>
        <v/>
      </c>
      <c r="Q45" s="10">
        <f>LEFT(J45&amp;" "&amp;I45,155)</f>
        <v/>
      </c>
    </row>
    <row r="46">
      <c r="A46" s="9" t="n">
        <v>6932</v>
      </c>
      <c r="B46" s="8" t="inlineStr">
        <is>
          <t>Quadro Discontactor Simples</t>
        </is>
      </c>
      <c r="C46" s="8" t="inlineStr">
        <is>
          <t>controlo</t>
        </is>
      </c>
      <c r="D46" s="8" t="n"/>
      <c r="E46" s="8" t="n"/>
      <c r="F46" s="8" t="n"/>
      <c r="G46" s="9" t="inlineStr">
        <is>
          <t>https://alanol.pt/img/products/qdiscon.png</t>
        </is>
      </c>
      <c r="H46" s="9" t="inlineStr">
        <is>
          <t>produtos/quadro-discontactor.html</t>
        </is>
      </c>
      <c r="I46" s="8" t="inlineStr">
        <is>
          <t>1×230V ou 3×380V · Proteção</t>
        </is>
      </c>
      <c r="J46" s="8" t="inlineStr"/>
      <c r="K46" s="8" t="inlineStr">
        <is>
          <t>Água Limpa, Pressurização Unifamiliar, Pressurização Edifícios</t>
        </is>
      </c>
      <c r="L46" s="10">
        <f>IF(ISNUMBER(SEARCH("Solar",K46)),"Sim","Não")</f>
        <v/>
      </c>
      <c r="M46" s="4" t="n">
        <v>99</v>
      </c>
      <c r="N46" s="4" t="inlineStr">
        <is>
          <t>Sim</t>
        </is>
      </c>
      <c r="O46" s="10">
        <f>LOWER(SUBSTITUTE(SUBSTITUTE(B46," ","-"),"®",""))</f>
        <v/>
      </c>
      <c r="P46" s="10">
        <f>B46&amp;" | Alanol"</f>
        <v/>
      </c>
      <c r="Q46" s="10">
        <f>LEFT(J46&amp;" "&amp;I46,155)</f>
        <v/>
      </c>
    </row>
    <row r="47">
      <c r="A47" s="9" t="n">
        <v>6989</v>
      </c>
      <c r="B47" s="8" t="inlineStr">
        <is>
          <t>Brio Top</t>
        </is>
      </c>
      <c r="C47" s="8" t="inlineStr">
        <is>
          <t>controlo</t>
        </is>
      </c>
      <c r="D47" s="8" t="n"/>
      <c r="E47" s="8" t="n"/>
      <c r="F47" s="8" t="n"/>
      <c r="G47" s="9" t="inlineStr">
        <is>
          <t>https://alanol.pt/img/products/briotop.jpg</t>
        </is>
      </c>
      <c r="H47" s="9" t="inlineStr">
        <is>
          <t>produtos/brio-top.html</t>
        </is>
      </c>
      <c r="I47" s="8" t="inlineStr">
        <is>
          <t>Controlador eletrónico · Monofásico</t>
        </is>
      </c>
      <c r="J47" s="8" t="inlineStr"/>
      <c r="K47" s="8" t="inlineStr">
        <is>
          <t>Água Limpa, Pressurização Unifamiliar</t>
        </is>
      </c>
      <c r="L47" s="10">
        <f>IF(ISNUMBER(SEARCH("Solar",K47)),"Sim","Não")</f>
        <v/>
      </c>
      <c r="M47" s="4" t="n">
        <v>99</v>
      </c>
      <c r="N47" s="4" t="inlineStr">
        <is>
          <t>Sim</t>
        </is>
      </c>
      <c r="O47" s="10">
        <f>LOWER(SUBSTITUTE(SUBSTITUTE(B47," ","-"),"®",""))</f>
        <v/>
      </c>
      <c r="P47" s="10">
        <f>B47&amp;" | Alanol"</f>
        <v/>
      </c>
      <c r="Q47" s="10">
        <f>LEFT(J47&amp;" "&amp;I47,155)</f>
        <v/>
      </c>
    </row>
    <row r="48">
      <c r="A48" s="9" t="n">
        <v>6991</v>
      </c>
      <c r="B48" s="8" t="inlineStr">
        <is>
          <t>Brio 2000</t>
        </is>
      </c>
      <c r="C48" s="8" t="inlineStr">
        <is>
          <t>controlo</t>
        </is>
      </c>
      <c r="D48" s="8" t="n"/>
      <c r="E48" s="8" t="n"/>
      <c r="F48" s="8" t="n"/>
      <c r="G48" s="9" t="inlineStr">
        <is>
          <t>https://alanol.pt/img/products/brio2000.png</t>
        </is>
      </c>
      <c r="H48" s="9" t="inlineStr">
        <is>
          <t>produtos/brio-2000.html</t>
        </is>
      </c>
      <c r="I48" s="8" t="inlineStr">
        <is>
          <t>Arranque/paragem automático</t>
        </is>
      </c>
      <c r="J48" s="8" t="inlineStr"/>
      <c r="K48" s="8" t="inlineStr">
        <is>
          <t>Água Limpa, Pressurização Unifamiliar</t>
        </is>
      </c>
      <c r="L48" s="10">
        <f>IF(ISNUMBER(SEARCH("Solar",K48)),"Sim","Não")</f>
        <v/>
      </c>
      <c r="M48" s="4" t="n">
        <v>99</v>
      </c>
      <c r="N48" s="4" t="inlineStr">
        <is>
          <t>Sim</t>
        </is>
      </c>
      <c r="O48" s="10">
        <f>LOWER(SUBSTITUTE(SUBSTITUTE(B48," ","-"),"®",""))</f>
        <v/>
      </c>
      <c r="P48" s="10">
        <f>B48&amp;" | Alanol"</f>
        <v/>
      </c>
      <c r="Q48" s="10">
        <f>LEFT(J48&amp;" "&amp;I48,155)</f>
        <v/>
      </c>
    </row>
    <row r="49">
      <c r="A49" s="9" t="n">
        <v>6992</v>
      </c>
      <c r="B49" s="8" t="inlineStr">
        <is>
          <t>SIRIO UNIVERSAL</t>
        </is>
      </c>
      <c r="C49" s="8" t="inlineStr">
        <is>
          <t>controlo</t>
        </is>
      </c>
      <c r="D49" s="8" t="n"/>
      <c r="E49" s="8" t="n"/>
      <c r="F49" s="8" t="n"/>
      <c r="G49" s="9" t="inlineStr">
        <is>
          <t>https://alanol.pt/img/products/sirio.jpg</t>
        </is>
      </c>
      <c r="H49" s="9" t="inlineStr">
        <is>
          <t>produtos/sirio-universal.html</t>
        </is>
      </c>
      <c r="I49" s="8" t="inlineStr">
        <is>
          <t>1×230V ou 3×230V · Pressão constante</t>
        </is>
      </c>
      <c r="J49" s="8" t="inlineStr"/>
      <c r="K49" s="8" t="inlineStr">
        <is>
          <t>Água Limpa, Pressurização Unifamiliar, Pressurização Edifícios</t>
        </is>
      </c>
      <c r="L49" s="10">
        <f>IF(ISNUMBER(SEARCH("Solar",K49)),"Sim","Não")</f>
        <v/>
      </c>
      <c r="M49" s="4" t="n">
        <v>99</v>
      </c>
      <c r="N49" s="4" t="inlineStr">
        <is>
          <t>Sim</t>
        </is>
      </c>
      <c r="O49" s="10">
        <f>LOWER(SUBSTITUTE(SUBSTITUTE(B49," ","-"),"®",""))</f>
        <v/>
      </c>
      <c r="P49" s="10">
        <f>B49&amp;" | Alanol"</f>
        <v/>
      </c>
      <c r="Q49" s="10">
        <f>LEFT(J49&amp;" "&amp;I49,155)</f>
        <v/>
      </c>
    </row>
    <row r="50">
      <c r="A50" s="9" t="n">
        <v>7046</v>
      </c>
      <c r="B50" s="8" t="inlineStr">
        <is>
          <t>Variadores VACON®</t>
        </is>
      </c>
      <c r="C50" s="8" t="inlineStr">
        <is>
          <t>controlo</t>
        </is>
      </c>
      <c r="D50" s="8" t="n">
        <v>7.5</v>
      </c>
      <c r="E50" s="8" t="n">
        <v>90</v>
      </c>
      <c r="F50" s="8" t="n">
        <v>1.1</v>
      </c>
      <c r="G50" s="9" t="inlineStr">
        <is>
          <t>https://alanol.pt/img/products/vacon.png</t>
        </is>
      </c>
      <c r="H50" s="9" t="inlineStr">
        <is>
          <t>produtos/variadores-de-velocidade-vacon.html</t>
        </is>
      </c>
      <c r="I50" s="8" t="inlineStr">
        <is>
          <t>Poupança 20–50% energia</t>
        </is>
      </c>
      <c r="J50" s="8" t="inlineStr"/>
      <c r="K50" s="8" t="inlineStr">
        <is>
          <t>Água Limpa, Pressurização Edifícios</t>
        </is>
      </c>
      <c r="L50" s="10">
        <f>IF(ISNUMBER(SEARCH("Solar",K50)),"Sim","Não")</f>
        <v/>
      </c>
      <c r="M50" s="4" t="n">
        <v>99</v>
      </c>
      <c r="N50" s="4" t="inlineStr">
        <is>
          <t>Sim</t>
        </is>
      </c>
      <c r="O50" s="10">
        <f>LOWER(SUBSTITUTE(SUBSTITUTE(B50," ","-"),"®",""))</f>
        <v/>
      </c>
      <c r="P50" s="10">
        <f>B50&amp;" | Alanol"</f>
        <v/>
      </c>
      <c r="Q50" s="10">
        <f>LEFT(J50&amp;" "&amp;I50,155)</f>
        <v/>
      </c>
    </row>
    <row r="51">
      <c r="A51" s="9" t="n">
        <v>7056</v>
      </c>
      <c r="B51" s="8" t="inlineStr">
        <is>
          <t>Variadores DrivE-Tech®</t>
        </is>
      </c>
      <c r="C51" s="8" t="inlineStr">
        <is>
          <t>controlo</t>
        </is>
      </c>
      <c r="D51" s="8" t="n"/>
      <c r="E51" s="8" t="n"/>
      <c r="F51" s="8" t="n"/>
      <c r="G51" s="9" t="inlineStr">
        <is>
          <t>https://alanol.pt/img/products/drivetech.png</t>
        </is>
      </c>
      <c r="H51" s="9" t="inlineStr">
        <is>
          <t>produtos/drivetech.html</t>
        </is>
      </c>
      <c r="I51" s="8" t="inlineStr">
        <is>
          <t>Inversor de frequência</t>
        </is>
      </c>
      <c r="J51" s="8" t="inlineStr"/>
      <c r="K51" s="8" t="inlineStr">
        <is>
          <t>Água Limpa, Pressurização Edifícios</t>
        </is>
      </c>
      <c r="L51" s="10">
        <f>IF(ISNUMBER(SEARCH("Solar",K51)),"Sim","Não")</f>
        <v/>
      </c>
      <c r="M51" s="4" t="n">
        <v>99</v>
      </c>
      <c r="N51" s="4" t="inlineStr">
        <is>
          <t>Sim</t>
        </is>
      </c>
      <c r="O51" s="10">
        <f>LOWER(SUBSTITUTE(SUBSTITUTE(B51," ","-"),"®",""))</f>
        <v/>
      </c>
      <c r="P51" s="10">
        <f>B51&amp;" | Alanol"</f>
        <v/>
      </c>
      <c r="Q51" s="10">
        <f>LEFT(J51&amp;" "&amp;I51,155)</f>
        <v/>
      </c>
    </row>
    <row r="52">
      <c r="A52" s="9" t="n">
        <v>7062</v>
      </c>
      <c r="B52" s="8" t="inlineStr">
        <is>
          <t>Franklin Electric®</t>
        </is>
      </c>
      <c r="C52" s="8" t="inlineStr">
        <is>
          <t>furo</t>
        </is>
      </c>
      <c r="D52" s="8" t="n">
        <v>7.5</v>
      </c>
      <c r="E52" s="8" t="n">
        <v>90</v>
      </c>
      <c r="F52" s="8" t="n">
        <v>1.1</v>
      </c>
      <c r="G52" s="9" t="inlineStr">
        <is>
          <t>https://alanol.pt/img/products/franklin.png</t>
        </is>
      </c>
      <c r="H52" s="9" t="inlineStr">
        <is>
          <t>produtos/motores-submersiveis-franklin.html</t>
        </is>
      </c>
      <c r="I52" s="8" t="inlineStr">
        <is>
          <t>0,25 kW a 150 kW · 4", 6" e 8"</t>
        </is>
      </c>
      <c r="J52" s="8" t="inlineStr"/>
      <c r="K52" s="8" t="inlineStr">
        <is>
          <t>Água Limpa, Rega Agrícola, Motores Submersíveis, Solar</t>
        </is>
      </c>
      <c r="L52" s="10">
        <f>IF(ISNUMBER(SEARCH("Solar",K52)),"Sim","Não")</f>
        <v/>
      </c>
      <c r="M52" s="4" t="n">
        <v>99</v>
      </c>
      <c r="N52" s="4" t="inlineStr">
        <is>
          <t>Sim</t>
        </is>
      </c>
      <c r="O52" s="10">
        <f>LOWER(SUBSTITUTE(SUBSTITUTE(B52," ","-"),"®",""))</f>
        <v/>
      </c>
      <c r="P52" s="10">
        <f>B52&amp;" | Alanol"</f>
        <v/>
      </c>
      <c r="Q52" s="10">
        <f>LEFT(J52&amp;" "&amp;I52,155)</f>
        <v/>
      </c>
    </row>
    <row r="53">
      <c r="A53" s="9" t="n">
        <v>4532</v>
      </c>
      <c r="B53" s="8" t="inlineStr">
        <is>
          <t>Acessórios de Montagem</t>
        </is>
      </c>
      <c r="C53" s="8" t="inlineStr">
        <is>
          <t>superficie</t>
        </is>
      </c>
      <c r="D53" s="8" t="n">
        <v>7.5</v>
      </c>
      <c r="E53" s="8" t="n">
        <v>90</v>
      </c>
      <c r="F53" s="8" t="n">
        <v>1.1</v>
      </c>
      <c r="G53" s="9" t="inlineStr">
        <is>
          <t>https://alanol.pt/img/products/acess.png</t>
        </is>
      </c>
      <c r="H53" s="9" t="inlineStr">
        <is>
          <t>produtos/acessorios.html</t>
        </is>
      </c>
      <c r="I53" s="8" t="inlineStr">
        <is>
          <t>Tês, curvas, uniões, ligações</t>
        </is>
      </c>
      <c r="J53" s="8" t="inlineStr"/>
      <c r="K53" s="8" t="inlineStr">
        <is>
          <t>Água Limpa, Água Suja, Acessórios de Montagem</t>
        </is>
      </c>
      <c r="L53" s="10">
        <f>IF(ISNUMBER(SEARCH("Solar",K53)),"Sim","Não")</f>
        <v/>
      </c>
      <c r="M53" s="4" t="n">
        <v>99</v>
      </c>
      <c r="N53" s="4" t="inlineStr">
        <is>
          <t>Sim</t>
        </is>
      </c>
      <c r="O53" s="10">
        <f>LOWER(SUBSTITUTE(SUBSTITUTE(B53," ","-"),"®",""))</f>
        <v/>
      </c>
      <c r="P53" s="10">
        <f>B53&amp;" | Alanol"</f>
        <v/>
      </c>
      <c r="Q53" s="10">
        <f>LEFT(J53&amp;" "&amp;I53,155)</f>
        <v/>
      </c>
    </row>
  </sheetData>
  <autoFilter ref="A4:Q53"/>
  <mergeCells count="2">
    <mergeCell ref="A2:H2"/>
    <mergeCell ref="A1:H1"/>
  </mergeCells>
  <dataValidations count="2">
    <dataValidation sqref="C5:C500" showDropDown="0" showInputMessage="0" showErrorMessage="0" allowBlank="0" type="list">
      <formula1>"furo,solar,poco,superficie,controlo,depositos,acessorios"</formula1>
    </dataValidation>
    <dataValidation sqref="N5:N500" showDropDown="0" showInputMessage="0" showErrorMessage="0" allowBlank="0" type="list">
      <formula1>"Sim,Não"</formula1>
    </dataValidation>
  </dataValidations>
  <pageMargins left="0.25" right="0.25" top="0.4" bottom="0.4" header="0.5" footer="0.5"/>
  <pageSetup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62" customWidth="1" min="3" max="3"/>
    <col width="18" customWidth="1" min="4" max="4"/>
    <col width="12" customWidth="1" min="5" max="5"/>
  </cols>
  <sheetData>
    <row r="1">
      <c r="A1" s="1" t="inlineStr">
        <is>
          <t>TAGS E APLICAÇÕES</t>
        </is>
      </c>
    </row>
    <row r="2">
      <c r="A2" s="2" t="inlineStr">
        <is>
          <t>Vocabulário controlado para filtros, SEO e consistência comercial.</t>
        </is>
      </c>
    </row>
    <row r="3"/>
    <row r="4">
      <c r="A4" s="3" t="inlineStr">
        <is>
          <t>Tag</t>
        </is>
      </c>
      <c r="B4" s="3" t="inlineStr">
        <is>
          <t>Grupo</t>
        </is>
      </c>
      <c r="C4" s="3" t="inlineStr">
        <is>
          <t>Descrição</t>
        </is>
      </c>
      <c r="D4" s="3" t="inlineStr">
        <is>
          <t>Usar em produtos?</t>
        </is>
      </c>
      <c r="E4" s="3" t="inlineStr">
        <is>
          <t>Prioridade</t>
        </is>
      </c>
    </row>
    <row r="5">
      <c r="A5" s="8" t="inlineStr">
        <is>
          <t>Acessórios de Montagem</t>
        </is>
      </c>
      <c r="B5" s="8" t="inlineStr">
        <is>
          <t>Sistema</t>
        </is>
      </c>
      <c r="C5" s="8" t="inlineStr"/>
      <c r="D5" s="8" t="inlineStr">
        <is>
          <t>Sim</t>
        </is>
      </c>
      <c r="E5" s="8" t="n">
        <v>1</v>
      </c>
    </row>
    <row r="6">
      <c r="A6" s="8" t="inlineStr">
        <is>
          <t>Campos Desportivos</t>
        </is>
      </c>
      <c r="B6" s="8" t="inlineStr">
        <is>
          <t>Aplicação</t>
        </is>
      </c>
      <c r="C6" s="8" t="inlineStr"/>
      <c r="D6" s="8" t="inlineStr">
        <is>
          <t>Sim</t>
        </is>
      </c>
      <c r="E6" s="8" t="n">
        <v>2</v>
      </c>
    </row>
    <row r="7">
      <c r="A7" s="8" t="inlineStr">
        <is>
          <t>Construção</t>
        </is>
      </c>
      <c r="B7" s="8" t="inlineStr">
        <is>
          <t>Aplicação</t>
        </is>
      </c>
      <c r="C7" s="8" t="inlineStr"/>
      <c r="D7" s="8" t="inlineStr">
        <is>
          <t>Sim</t>
        </is>
      </c>
      <c r="E7" s="8" t="n">
        <v>3</v>
      </c>
    </row>
    <row r="8">
      <c r="A8" s="8" t="inlineStr">
        <is>
          <t>Drenagem</t>
        </is>
      </c>
      <c r="B8" s="8" t="inlineStr">
        <is>
          <t>Aplicação</t>
        </is>
      </c>
      <c r="C8" s="8" t="inlineStr"/>
      <c r="D8" s="8" t="inlineStr">
        <is>
          <t>Sim</t>
        </is>
      </c>
      <c r="E8" s="8" t="n">
        <v>4</v>
      </c>
    </row>
    <row r="9">
      <c r="A9" s="8" t="inlineStr">
        <is>
          <t>Fossa</t>
        </is>
      </c>
      <c r="B9" s="8" t="inlineStr">
        <is>
          <t>Aplicação</t>
        </is>
      </c>
      <c r="C9" s="8" t="inlineStr"/>
      <c r="D9" s="8" t="inlineStr">
        <is>
          <t>Sim</t>
        </is>
      </c>
      <c r="E9" s="8" t="n">
        <v>5</v>
      </c>
    </row>
    <row r="10">
      <c r="A10" s="8" t="inlineStr">
        <is>
          <t>HVAC / AVAC</t>
        </is>
      </c>
      <c r="B10" s="8" t="inlineStr">
        <is>
          <t>Aplicação</t>
        </is>
      </c>
      <c r="C10" s="8" t="inlineStr"/>
      <c r="D10" s="8" t="inlineStr">
        <is>
          <t>Sim</t>
        </is>
      </c>
      <c r="E10" s="8" t="n">
        <v>6</v>
      </c>
    </row>
    <row r="11">
      <c r="A11" s="8" t="inlineStr">
        <is>
          <t>Motores Submersíveis</t>
        </is>
      </c>
      <c r="B11" s="8" t="inlineStr">
        <is>
          <t>Sistema</t>
        </is>
      </c>
      <c r="C11" s="8" t="inlineStr"/>
      <c r="D11" s="8" t="inlineStr">
        <is>
          <t>Sim</t>
        </is>
      </c>
      <c r="E11" s="8" t="n">
        <v>7</v>
      </c>
    </row>
    <row r="12">
      <c r="A12" s="8" t="inlineStr">
        <is>
          <t>Pedreiras</t>
        </is>
      </c>
      <c r="B12" s="8" t="inlineStr">
        <is>
          <t>Aplicação</t>
        </is>
      </c>
      <c r="C12" s="8" t="inlineStr"/>
      <c r="D12" s="8" t="inlineStr">
        <is>
          <t>Sim</t>
        </is>
      </c>
      <c r="E12" s="8" t="n">
        <v>8</v>
      </c>
    </row>
    <row r="13">
      <c r="A13" s="8" t="inlineStr">
        <is>
          <t>Pressurização Edifícios</t>
        </is>
      </c>
      <c r="B13" s="8" t="inlineStr">
        <is>
          <t>Aplicação</t>
        </is>
      </c>
      <c r="C13" s="8" t="inlineStr"/>
      <c r="D13" s="8" t="inlineStr">
        <is>
          <t>Sim</t>
        </is>
      </c>
      <c r="E13" s="8" t="n">
        <v>9</v>
      </c>
    </row>
    <row r="14">
      <c r="A14" s="8" t="inlineStr">
        <is>
          <t>Pressurização Unifamiliar</t>
        </is>
      </c>
      <c r="B14" s="8" t="inlineStr">
        <is>
          <t>Aplicação</t>
        </is>
      </c>
      <c r="C14" s="8" t="inlineStr"/>
      <c r="D14" s="8" t="inlineStr">
        <is>
          <t>Sim</t>
        </is>
      </c>
      <c r="E14" s="8" t="n">
        <v>10</v>
      </c>
    </row>
    <row r="15">
      <c r="A15" s="8" t="inlineStr">
        <is>
          <t>Rega Agrícola</t>
        </is>
      </c>
      <c r="B15" s="8" t="inlineStr">
        <is>
          <t>Aplicação</t>
        </is>
      </c>
      <c r="C15" s="8" t="inlineStr"/>
      <c r="D15" s="8" t="inlineStr">
        <is>
          <t>Sim</t>
        </is>
      </c>
      <c r="E15" s="8" t="n">
        <v>11</v>
      </c>
    </row>
    <row r="16">
      <c r="A16" s="8" t="inlineStr">
        <is>
          <t>Rega Residencial</t>
        </is>
      </c>
      <c r="B16" s="8" t="inlineStr">
        <is>
          <t>Aplicação</t>
        </is>
      </c>
      <c r="C16" s="8" t="inlineStr"/>
      <c r="D16" s="8" t="inlineStr">
        <is>
          <t>Sim</t>
        </is>
      </c>
      <c r="E16" s="8" t="n">
        <v>12</v>
      </c>
    </row>
    <row r="17">
      <c r="A17" s="8" t="inlineStr">
        <is>
          <t>Solar</t>
        </is>
      </c>
      <c r="B17" s="8" t="inlineStr">
        <is>
          <t>Sistema</t>
        </is>
      </c>
      <c r="C17" s="8" t="inlineStr"/>
      <c r="D17" s="8" t="inlineStr">
        <is>
          <t>Sim</t>
        </is>
      </c>
      <c r="E17" s="8" t="n">
        <v>13</v>
      </c>
    </row>
    <row r="18">
      <c r="A18" s="8" t="inlineStr">
        <is>
          <t>Água Limpa</t>
        </is>
      </c>
      <c r="B18" s="8" t="inlineStr">
        <is>
          <t>Tipo de água</t>
        </is>
      </c>
      <c r="C18" s="8" t="inlineStr"/>
      <c r="D18" s="8" t="inlineStr">
        <is>
          <t>Sim</t>
        </is>
      </c>
      <c r="E18" s="8" t="n">
        <v>14</v>
      </c>
    </row>
    <row r="19">
      <c r="A19" s="8" t="inlineStr">
        <is>
          <t>Água Lodosa</t>
        </is>
      </c>
      <c r="B19" s="8" t="inlineStr">
        <is>
          <t>Tipo de água</t>
        </is>
      </c>
      <c r="C19" s="8" t="inlineStr"/>
      <c r="D19" s="8" t="inlineStr">
        <is>
          <t>Sim</t>
        </is>
      </c>
      <c r="E19" s="8" t="n">
        <v>15</v>
      </c>
    </row>
    <row r="20">
      <c r="A20" s="8" t="inlineStr">
        <is>
          <t>Água Suja</t>
        </is>
      </c>
      <c r="B20" s="8" t="inlineStr">
        <is>
          <t>Tipo de água</t>
        </is>
      </c>
      <c r="C20" s="8" t="inlineStr"/>
      <c r="D20" s="8" t="inlineStr">
        <is>
          <t>Sim</t>
        </is>
      </c>
      <c r="E20" s="8" t="n">
        <v>16</v>
      </c>
    </row>
    <row r="21">
      <c r="A21" s="8" t="inlineStr">
        <is>
          <t>Águas Agressivas</t>
        </is>
      </c>
      <c r="B21" s="8" t="inlineStr">
        <is>
          <t>Tipo de água</t>
        </is>
      </c>
      <c r="C21" s="8" t="inlineStr"/>
      <c r="D21" s="8" t="inlineStr">
        <is>
          <t>Sim</t>
        </is>
      </c>
      <c r="E21" s="8" t="n">
        <v>17</v>
      </c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60" customWidth="1" min="4" max="4"/>
    <col width="16" customWidth="1" min="5" max="5"/>
    <col width="72" customWidth="1" min="6" max="6"/>
    <col width="20" customWidth="1" min="7" max="7"/>
    <col width="44" customWidth="1" min="8" max="8"/>
    <col width="16" customWidth="1" min="9" max="9"/>
    <col width="34" customWidth="1" min="10" max="10"/>
  </cols>
  <sheetData>
    <row r="1">
      <c r="A1" s="1" t="inlineStr">
        <is>
          <t>SEO DAS PÁGINAS</t>
        </is>
      </c>
    </row>
    <row r="2">
      <c r="A2" s="2" t="inlineStr">
        <is>
          <t>Planeia titles, meta descriptions e keywords principais. Usa contadores para evitar títulos/descrições demasiado longos.</t>
        </is>
      </c>
    </row>
    <row r="3"/>
    <row r="4">
      <c r="A4" s="3" t="inlineStr">
        <is>
          <t>Página</t>
        </is>
      </c>
      <c r="B4" s="3" t="inlineStr">
        <is>
          <t>URL</t>
        </is>
      </c>
      <c r="C4" s="3" t="inlineStr">
        <is>
          <t>Keyword principal</t>
        </is>
      </c>
      <c r="D4" s="3" t="inlineStr">
        <is>
          <t>Title SEO</t>
        </is>
      </c>
      <c r="E4" s="3" t="inlineStr">
        <is>
          <t>Caracteres Title</t>
        </is>
      </c>
      <c r="F4" s="3" t="inlineStr">
        <is>
          <t>Meta Description</t>
        </is>
      </c>
      <c r="G4" s="3" t="inlineStr">
        <is>
          <t>Caracteres Description</t>
        </is>
      </c>
      <c r="H4" s="3" t="inlineStr">
        <is>
          <t>H1</t>
        </is>
      </c>
      <c r="I4" s="3" t="inlineStr">
        <is>
          <t>Estado</t>
        </is>
      </c>
      <c r="J4" s="3" t="inlineStr">
        <is>
          <t>Notas</t>
        </is>
      </c>
    </row>
    <row r="5">
      <c r="A5" s="8" t="inlineStr">
        <is>
          <t>Homepage</t>
        </is>
      </c>
      <c r="B5" s="8" t="inlineStr">
        <is>
          <t>index.html</t>
        </is>
      </c>
      <c r="C5" s="8" t="inlineStr">
        <is>
          <t>eletrobombas submersíveis</t>
        </is>
      </c>
      <c r="D5" s="8" t="inlineStr">
        <is>
          <t>Eletrobombas Submersíveis e Bombagem Solar | Alanol</t>
        </is>
      </c>
      <c r="E5" s="10">
        <f>LEN(D5)</f>
        <v/>
      </c>
      <c r="F5" s="8" t="inlineStr">
        <is>
          <t>Bombas de furo, poço, superfície e sistemas solares para agricultura, indústria e construção. Apoio técnico Alanol desde 1959.</t>
        </is>
      </c>
      <c r="G5" s="10">
        <f>LEN(F5)</f>
        <v/>
      </c>
      <c r="H5" s="8" t="inlineStr">
        <is>
          <t>Bombagem de água com engenharia, assistência e resposta técnica.</t>
        </is>
      </c>
      <c r="I5" s="8" t="inlineStr">
        <is>
          <t>Revisto</t>
        </is>
      </c>
      <c r="J5" s="8" t="inlineStr"/>
    </row>
    <row r="6">
      <c r="A6" s="8" t="inlineStr">
        <is>
          <t>Bombagem Solar</t>
        </is>
      </c>
      <c r="B6" s="8" t="inlineStr">
        <is>
          <t>bombagem-solar.html</t>
        </is>
      </c>
      <c r="C6" s="8" t="inlineStr">
        <is>
          <t>bombagem solar</t>
        </is>
      </c>
      <c r="D6" s="8" t="inlineStr">
        <is>
          <t>Bombagem Solar para Furos, Poços e Rega | Alanol</t>
        </is>
      </c>
      <c r="E6" s="10">
        <f>LEN(D6)</f>
        <v/>
      </c>
      <c r="F6" s="8" t="inlineStr">
        <is>
          <t>Sistemas de bombagem solar com Drive-Tech para furos, poços, depósitos e rega agrícola. Soluções off-grid e híbridas.</t>
        </is>
      </c>
      <c r="G6" s="10">
        <f>LEN(F6)</f>
        <v/>
      </c>
      <c r="H6" s="8" t="inlineStr">
        <is>
          <t>Bombagem Solar</t>
        </is>
      </c>
      <c r="I6" s="8" t="inlineStr">
        <is>
          <t>A rever</t>
        </is>
      </c>
      <c r="J6" s="8" t="inlineStr"/>
    </row>
    <row r="7">
      <c r="A7" s="8" t="inlineStr">
        <is>
          <t>Contactos</t>
        </is>
      </c>
      <c r="B7" s="8" t="inlineStr">
        <is>
          <t>contactos.html</t>
        </is>
      </c>
      <c r="C7" s="8" t="inlineStr">
        <is>
          <t>contactos Alanol</t>
        </is>
      </c>
      <c r="D7" s="8" t="inlineStr">
        <is>
          <t>Contactos Alanol | Apoio Técnico em Bombagem</t>
        </is>
      </c>
      <c r="E7" s="10">
        <f>LEN(D7)</f>
        <v/>
      </c>
      <c r="F7" s="8" t="inlineStr">
        <is>
          <t>Fale com a Alanol para seleção de bombas, assistência técnica, orçamento e apoio em sistemas de bombagem.</t>
        </is>
      </c>
      <c r="G7" s="10">
        <f>LEN(F7)</f>
        <v/>
      </c>
      <c r="H7" s="8" t="inlineStr">
        <is>
          <t>Contactos</t>
        </is>
      </c>
      <c r="I7" s="8" t="inlineStr">
        <is>
          <t>A rever</t>
        </is>
      </c>
      <c r="J7" s="8" t="inlineStr"/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28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TEXTOS E CTAS</t>
        </is>
      </c>
    </row>
    <row r="2">
      <c r="A2" s="2" t="inlineStr">
        <is>
          <t>Banco de chamadas à ação, headlines e microcopy para testes no site.</t>
        </is>
      </c>
    </row>
    <row r="3"/>
    <row r="4">
      <c r="A4" s="3" t="inlineStr">
        <is>
          <t>Tipo</t>
        </is>
      </c>
      <c r="B4" s="3" t="inlineStr">
        <is>
          <t>Texto</t>
        </is>
      </c>
      <c r="C4" s="3" t="inlineStr">
        <is>
          <t>Página/Secção</t>
        </is>
      </c>
      <c r="D4" s="3" t="inlineStr">
        <is>
          <t>Intenção</t>
        </is>
      </c>
      <c r="E4" s="3" t="inlineStr">
        <is>
          <t>Prioridade</t>
        </is>
      </c>
      <c r="F4" s="3" t="inlineStr">
        <is>
          <t>Ativo?</t>
        </is>
      </c>
    </row>
    <row r="5">
      <c r="A5" s="8" t="inlineStr">
        <is>
          <t>Hero H1</t>
        </is>
      </c>
      <c r="B5" s="8" t="inlineStr">
        <is>
          <t>Bombagem de água com engenharia, assistência e resposta técnica.</t>
        </is>
      </c>
      <c r="C5" s="8" t="inlineStr">
        <is>
          <t>Homepage Hero</t>
        </is>
      </c>
      <c r="D5" s="8" t="inlineStr">
        <is>
          <t>Autoridade</t>
        </is>
      </c>
      <c r="E5" s="8" t="n">
        <v>1</v>
      </c>
      <c r="F5" s="8" t="inlineStr">
        <is>
          <t>Sim</t>
        </is>
      </c>
    </row>
    <row r="6">
      <c r="A6" s="8" t="inlineStr">
        <is>
          <t>Botão</t>
        </is>
      </c>
      <c r="B6" s="8" t="inlineStr">
        <is>
          <t>Pedir seleção de bomba</t>
        </is>
      </c>
      <c r="C6" s="8" t="inlineStr">
        <is>
          <t>Hero / CTA final</t>
        </is>
      </c>
      <c r="D6" s="8" t="inlineStr">
        <is>
          <t>Lead técnico</t>
        </is>
      </c>
      <c r="E6" s="8" t="n">
        <v>1</v>
      </c>
      <c r="F6" s="8" t="inlineStr">
        <is>
          <t>Sim</t>
        </is>
      </c>
    </row>
    <row r="7">
      <c r="A7" s="8" t="inlineStr">
        <is>
          <t>Botão</t>
        </is>
      </c>
      <c r="B7" s="8" t="inlineStr">
        <is>
          <t>Ver catálogo técnico</t>
        </is>
      </c>
      <c r="C7" s="8" t="inlineStr">
        <is>
          <t>Hero</t>
        </is>
      </c>
      <c r="D7" s="8" t="inlineStr">
        <is>
          <t>Catálogo</t>
        </is>
      </c>
      <c r="E7" s="8" t="n">
        <v>2</v>
      </c>
      <c r="F7" s="8" t="inlineStr">
        <is>
          <t>Sim</t>
        </is>
      </c>
    </row>
    <row r="8">
      <c r="A8" s="8" t="inlineStr">
        <is>
          <t>Headline</t>
        </is>
      </c>
      <c r="B8" s="8" t="inlineStr">
        <is>
          <t>Dimensionamos soluções para a água chegar onde é precisa.</t>
        </is>
      </c>
      <c r="C8" s="8" t="inlineStr">
        <is>
          <t>Intro</t>
        </is>
      </c>
      <c r="D8" s="8" t="inlineStr">
        <is>
          <t>Posicionamento</t>
        </is>
      </c>
      <c r="E8" s="8" t="n">
        <v>1</v>
      </c>
      <c r="F8" s="8" t="inlineStr">
        <is>
          <t>Sim</t>
        </is>
      </c>
    </row>
    <row r="9">
      <c r="A9" s="8" t="inlineStr">
        <is>
          <t>Microcopy</t>
        </is>
      </c>
      <c r="B9" s="8" t="inlineStr">
        <is>
          <t>A resposta certa começa com os dados certos.</t>
        </is>
      </c>
      <c r="C9" s="8" t="inlineStr">
        <is>
          <t>CTA final</t>
        </is>
      </c>
      <c r="D9" s="8" t="inlineStr">
        <is>
          <t>Confiança</t>
        </is>
      </c>
      <c r="E9" s="8" t="n">
        <v>1</v>
      </c>
      <c r="F9" s="8" t="inlineStr">
        <is>
          <t>Sim</t>
        </is>
      </c>
    </row>
    <row r="10">
      <c r="A10" s="8" t="inlineStr">
        <is>
          <t>WhatsApp</t>
        </is>
      </c>
      <c r="B10" s="8" t="inlineStr">
        <is>
          <t>WhatsApp técnico</t>
        </is>
      </c>
      <c r="C10" s="8" t="inlineStr">
        <is>
          <t>CTA final</t>
        </is>
      </c>
      <c r="D10" s="8" t="inlineStr">
        <is>
          <t>Contacto rápido</t>
        </is>
      </c>
      <c r="E10" s="8" t="n">
        <v>2</v>
      </c>
      <c r="F10" s="8" t="inlineStr">
        <is>
          <t>Sim</t>
        </is>
      </c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60" customWidth="1" min="3" max="3"/>
  </cols>
  <sheetData>
    <row r="1">
      <c r="A1" s="1" t="inlineStr">
        <is>
          <t>CALCULADORA SIMPLES DE FURO</t>
        </is>
      </c>
    </row>
    <row r="2">
      <c r="A2" s="2" t="inlineStr">
        <is>
          <t>Estimativa inicial. Não substitui curva hidráulica nem validação técnica.</t>
        </is>
      </c>
    </row>
    <row r="3"/>
    <row r="4">
      <c r="A4" s="3" t="inlineStr">
        <is>
          <t>Entrada</t>
        </is>
      </c>
      <c r="B4" s="3" t="inlineStr">
        <is>
          <t>Valor</t>
        </is>
      </c>
      <c r="C4" s="3" t="inlineStr">
        <is>
          <t>Unidade / nota</t>
        </is>
      </c>
    </row>
    <row r="5">
      <c r="A5" s="4" t="inlineStr">
        <is>
          <t>Caudal pretendido (m³/h)</t>
        </is>
      </c>
      <c r="B5" s="8" t="n">
        <v>5</v>
      </c>
      <c r="C5" s="4" t="inlineStr">
        <is>
          <t>editar</t>
        </is>
      </c>
    </row>
    <row r="6">
      <c r="A6" s="4" t="inlineStr">
        <is>
          <t>Profundidade / nível dinâmico (m)</t>
        </is>
      </c>
      <c r="B6" s="8" t="n">
        <v>90</v>
      </c>
      <c r="C6" s="4" t="inlineStr">
        <is>
          <t>editar</t>
        </is>
      </c>
    </row>
    <row r="7">
      <c r="A7" s="4" t="inlineStr">
        <is>
          <t>Desnível adicional (m)</t>
        </is>
      </c>
      <c r="B7" s="8" t="n">
        <v>10</v>
      </c>
      <c r="C7" s="4" t="inlineStr">
        <is>
          <t>editar</t>
        </is>
      </c>
    </row>
    <row r="8">
      <c r="A8" s="4" t="inlineStr">
        <is>
          <t>Comprimento tubagem (m)</t>
        </is>
      </c>
      <c r="B8" s="8" t="n">
        <v>120</v>
      </c>
      <c r="C8" s="4" t="inlineStr">
        <is>
          <t>editar</t>
        </is>
      </c>
    </row>
    <row r="9">
      <c r="A9" s="4" t="inlineStr">
        <is>
          <t>Perdas estimadas por 100 m (%)</t>
        </is>
      </c>
      <c r="B9" s="8" t="n">
        <v>8</v>
      </c>
      <c r="C9" s="4" t="inlineStr">
        <is>
          <t>editar</t>
        </is>
      </c>
    </row>
    <row r="10">
      <c r="A10" s="4" t="inlineStr">
        <is>
          <t>Pressão desejada à saída (bar)</t>
        </is>
      </c>
      <c r="B10" s="8" t="n">
        <v>2</v>
      </c>
      <c r="C10" s="4" t="inlineStr">
        <is>
          <t>editar</t>
        </is>
      </c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3" t="inlineStr">
        <is>
          <t>Resultado</t>
        </is>
      </c>
      <c r="B13" s="3" t="inlineStr">
        <is>
          <t>Valor</t>
        </is>
      </c>
      <c r="C13" s="3" t="inlineStr">
        <is>
          <t>Fórmula</t>
        </is>
      </c>
    </row>
    <row r="14">
      <c r="A14" s="4" t="inlineStr">
        <is>
          <t>Pressão desejada convertida em metros</t>
        </is>
      </c>
      <c r="B14" s="10">
        <f>B10*10.2</f>
        <v/>
      </c>
      <c r="C14" s="4" t="inlineStr">
        <is>
          <t>bar × 10,2</t>
        </is>
      </c>
    </row>
    <row r="15">
      <c r="A15" s="4" t="inlineStr">
        <is>
          <t>Perdas de carga estimadas</t>
        </is>
      </c>
      <c r="B15" s="10">
        <f>B8*(B9/100)*(B5/5)</f>
        <v/>
      </c>
      <c r="C15" s="4" t="inlineStr">
        <is>
          <t>comprimento × % perdas × ajuste caudal</t>
        </is>
      </c>
    </row>
    <row r="16">
      <c r="A16" s="4" t="inlineStr">
        <is>
          <t>Altura manométrica total estimada</t>
        </is>
      </c>
      <c r="B16" s="10">
        <f>B6+B7+B14+B15</f>
        <v/>
      </c>
      <c r="C16" s="4" t="inlineStr">
        <is>
          <t>nível dinâmico + desnível + pressão + perdas</t>
        </is>
      </c>
    </row>
    <row r="17">
      <c r="A17" s="4" t="inlineStr">
        <is>
          <t>Potência hidráulica aproximada (kW)</t>
        </is>
      </c>
      <c r="B17" s="10">
        <f>B5*B16/367</f>
        <v/>
      </c>
      <c r="C17" s="4" t="inlineStr">
        <is>
          <t>Q × H / 367</t>
        </is>
      </c>
    </row>
    <row r="18">
      <c r="A18" s="4" t="inlineStr">
        <is>
          <t>Potência motor sugerida c/ rendimento 55%</t>
        </is>
      </c>
      <c r="B18" s="10">
        <f>B17/0.55</f>
        <v/>
      </c>
      <c r="C18" s="4" t="inlineStr">
        <is>
          <t>estimativa inicial</t>
        </is>
      </c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inlineStr">
        <is>
          <t>Aviso</t>
        </is>
      </c>
      <c r="B21" s="11" t="inlineStr">
        <is>
          <t>Esta folha é apenas uma pré-seleção. Confirmar sempre com curva da bomba, perdas reais, cabos, proteções e condições do furo.</t>
        </is>
      </c>
      <c r="C21" s="4" t="n"/>
    </row>
  </sheetData>
  <mergeCells count="3">
    <mergeCell ref="B21:C21"/>
    <mergeCell ref="A2:H2"/>
    <mergeCell ref="A1:H1"/>
  </mergeCells>
  <pageMargins left="0.25" right="0.25" top="0.4" bottom="0.4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0" customWidth="1" min="1" max="1"/>
  </cols>
  <sheetData>
    <row r="1">
      <c r="A1" s="1" t="inlineStr">
        <is>
          <t>GERADOR JS</t>
        </is>
      </c>
    </row>
    <row r="2">
      <c r="A2" s="2" t="inlineStr">
        <is>
          <t>Ajuda a copiar produtos da folha Produtos para objetos JS. Fórmula simples, sem arrays dinâmicos.</t>
        </is>
      </c>
    </row>
    <row r="3"/>
    <row r="4">
      <c r="A4" s="3" t="inlineStr">
        <is>
          <t>Linha JS aproximada</t>
        </is>
      </c>
    </row>
    <row r="5">
      <c r="A5" s="10">
        <f>IF(Produtos!A5="","","{id:"&amp;Produtos!A5&amp;", cat:""&amp;Produtos!C5&amp;"", tags:[""&amp;SUBSTITUTE(Produtos!K5,", ","","")&amp;""], q:"&amp;IF(Produtos!D5="","null",Produtos!D5)&amp;", h:"&amp;IF(Produtos!E5="","null",Produtos!E5)&amp;", kw:"&amp;IF(Produtos!F5="","null",Produtos!F5)&amp;", name:""&amp;Produtos!B5&amp;"", img:""&amp;Produtos!G5&amp;"", spec:""&amp;Produtos!I5&amp;"", url:""&amp;Produtos!H5&amp;""},")</f>
        <v/>
      </c>
    </row>
    <row r="6">
      <c r="A6" s="10">
        <f>IF(Produtos!A6="","","{id:"&amp;Produtos!A6&amp;", cat:""&amp;Produtos!C6&amp;"", tags:[""&amp;SUBSTITUTE(Produtos!K6,", ","","")&amp;""], q:"&amp;IF(Produtos!D6="","null",Produtos!D6)&amp;", h:"&amp;IF(Produtos!E6="","null",Produtos!E6)&amp;", kw:"&amp;IF(Produtos!F6="","null",Produtos!F6)&amp;", name:""&amp;Produtos!B6&amp;"", img:""&amp;Produtos!G6&amp;"", spec:""&amp;Produtos!I6&amp;"", url:""&amp;Produtos!H6&amp;""},")</f>
        <v/>
      </c>
    </row>
    <row r="7">
      <c r="A7" s="10">
        <f>IF(Produtos!A7="","","{id:"&amp;Produtos!A7&amp;", cat:""&amp;Produtos!C7&amp;"", tags:[""&amp;SUBSTITUTE(Produtos!K7,", ","","")&amp;""], q:"&amp;IF(Produtos!D7="","null",Produtos!D7)&amp;", h:"&amp;IF(Produtos!E7="","null",Produtos!E7)&amp;", kw:"&amp;IF(Produtos!F7="","null",Produtos!F7)&amp;", name:""&amp;Produtos!B7&amp;"", img:""&amp;Produtos!G7&amp;"", spec:""&amp;Produtos!I7&amp;"", url:""&amp;Produtos!H7&amp;""},")</f>
        <v/>
      </c>
    </row>
    <row r="8">
      <c r="A8" s="10">
        <f>IF(Produtos!A8="","","{id:"&amp;Produtos!A8&amp;", cat:""&amp;Produtos!C8&amp;"", tags:[""&amp;SUBSTITUTE(Produtos!K8,", ","","")&amp;""], q:"&amp;IF(Produtos!D8="","null",Produtos!D8)&amp;", h:"&amp;IF(Produtos!E8="","null",Produtos!E8)&amp;", kw:"&amp;IF(Produtos!F8="","null",Produtos!F8)&amp;", name:""&amp;Produtos!B8&amp;"", img:""&amp;Produtos!G8&amp;"", spec:""&amp;Produtos!I8&amp;"", url:""&amp;Produtos!H8&amp;""},")</f>
        <v/>
      </c>
    </row>
    <row r="9">
      <c r="A9" s="10">
        <f>IF(Produtos!A9="","","{id:"&amp;Produtos!A9&amp;", cat:""&amp;Produtos!C9&amp;"", tags:[""&amp;SUBSTITUTE(Produtos!K9,", ","","")&amp;""], q:"&amp;IF(Produtos!D9="","null",Produtos!D9)&amp;", h:"&amp;IF(Produtos!E9="","null",Produtos!E9)&amp;", kw:"&amp;IF(Produtos!F9="","null",Produtos!F9)&amp;", name:""&amp;Produtos!B9&amp;"", img:""&amp;Produtos!G9&amp;"", spec:""&amp;Produtos!I9&amp;"", url:""&amp;Produtos!H9&amp;""},")</f>
        <v/>
      </c>
    </row>
    <row r="10">
      <c r="A10" s="10">
        <f>IF(Produtos!A10="","","{id:"&amp;Produtos!A10&amp;", cat:""&amp;Produtos!C10&amp;"", tags:[""&amp;SUBSTITUTE(Produtos!K10,", ","","")&amp;""], q:"&amp;IF(Produtos!D10="","null",Produtos!D10)&amp;", h:"&amp;IF(Produtos!E10="","null",Produtos!E10)&amp;", kw:"&amp;IF(Produtos!F10="","null",Produtos!F10)&amp;", name:""&amp;Produtos!B10&amp;"", img:""&amp;Produtos!G10&amp;"", spec:""&amp;Produtos!I10&amp;"", url:""&amp;Produtos!H10&amp;""},")</f>
        <v/>
      </c>
    </row>
    <row r="11">
      <c r="A11" s="10">
        <f>IF(Produtos!A11="","","{id:"&amp;Produtos!A11&amp;", cat:""&amp;Produtos!C11&amp;"", tags:[""&amp;SUBSTITUTE(Produtos!K11,", ","","")&amp;""], q:"&amp;IF(Produtos!D11="","null",Produtos!D11)&amp;", h:"&amp;IF(Produtos!E11="","null",Produtos!E11)&amp;", kw:"&amp;IF(Produtos!F11="","null",Produtos!F11)&amp;", name:""&amp;Produtos!B11&amp;"", img:""&amp;Produtos!G11&amp;"", spec:""&amp;Produtos!I11&amp;"", url:""&amp;Produtos!H11&amp;""},")</f>
        <v/>
      </c>
    </row>
    <row r="12">
      <c r="A12" s="10">
        <f>IF(Produtos!A12="","","{id:"&amp;Produtos!A12&amp;", cat:""&amp;Produtos!C12&amp;"", tags:[""&amp;SUBSTITUTE(Produtos!K12,", ","","")&amp;""], q:"&amp;IF(Produtos!D12="","null",Produtos!D12)&amp;", h:"&amp;IF(Produtos!E12="","null",Produtos!E12)&amp;", kw:"&amp;IF(Produtos!F12="","null",Produtos!F12)&amp;", name:""&amp;Produtos!B12&amp;"", img:""&amp;Produtos!G12&amp;"", spec:""&amp;Produtos!I12&amp;"", url:""&amp;Produtos!H12&amp;""},")</f>
        <v/>
      </c>
    </row>
    <row r="13">
      <c r="A13" s="10">
        <f>IF(Produtos!A13="","","{id:"&amp;Produtos!A13&amp;", cat:""&amp;Produtos!C13&amp;"", tags:[""&amp;SUBSTITUTE(Produtos!K13,", ","","")&amp;""], q:"&amp;IF(Produtos!D13="","null",Produtos!D13)&amp;", h:"&amp;IF(Produtos!E13="","null",Produtos!E13)&amp;", kw:"&amp;IF(Produtos!F13="","null",Produtos!F13)&amp;", name:""&amp;Produtos!B13&amp;"", img:""&amp;Produtos!G13&amp;"", spec:""&amp;Produtos!I13&amp;"", url:""&amp;Produtos!H13&amp;""},")</f>
        <v/>
      </c>
    </row>
    <row r="14">
      <c r="A14" s="10">
        <f>IF(Produtos!A14="","","{id:"&amp;Produtos!A14&amp;", cat:""&amp;Produtos!C14&amp;"", tags:[""&amp;SUBSTITUTE(Produtos!K14,", ","","")&amp;""], q:"&amp;IF(Produtos!D14="","null",Produtos!D14)&amp;", h:"&amp;IF(Produtos!E14="","null",Produtos!E14)&amp;", kw:"&amp;IF(Produtos!F14="","null",Produtos!F14)&amp;", name:""&amp;Produtos!B14&amp;"", img:""&amp;Produtos!G14&amp;"", spec:""&amp;Produtos!I14&amp;"", url:""&amp;Produtos!H14&amp;""},")</f>
        <v/>
      </c>
    </row>
    <row r="15">
      <c r="A15" s="10">
        <f>IF(Produtos!A15="","","{id:"&amp;Produtos!A15&amp;", cat:""&amp;Produtos!C15&amp;"", tags:[""&amp;SUBSTITUTE(Produtos!K15,", ","","")&amp;""], q:"&amp;IF(Produtos!D15="","null",Produtos!D15)&amp;", h:"&amp;IF(Produtos!E15="","null",Produtos!E15)&amp;", kw:"&amp;IF(Produtos!F15="","null",Produtos!F15)&amp;", name:""&amp;Produtos!B15&amp;"", img:""&amp;Produtos!G15&amp;"", spec:""&amp;Produtos!I15&amp;"", url:""&amp;Produtos!H15&amp;""},")</f>
        <v/>
      </c>
    </row>
    <row r="16">
      <c r="A16" s="10">
        <f>IF(Produtos!A16="","","{id:"&amp;Produtos!A16&amp;", cat:""&amp;Produtos!C16&amp;"", tags:[""&amp;SUBSTITUTE(Produtos!K16,", ","","")&amp;""], q:"&amp;IF(Produtos!D16="","null",Produtos!D16)&amp;", h:"&amp;IF(Produtos!E16="","null",Produtos!E16)&amp;", kw:"&amp;IF(Produtos!F16="","null",Produtos!F16)&amp;", name:""&amp;Produtos!B16&amp;"", img:""&amp;Produtos!G16&amp;"", spec:""&amp;Produtos!I16&amp;"", url:""&amp;Produtos!H16&amp;""},")</f>
        <v/>
      </c>
    </row>
    <row r="17">
      <c r="A17" s="10">
        <f>IF(Produtos!A17="","","{id:"&amp;Produtos!A17&amp;", cat:""&amp;Produtos!C17&amp;"", tags:[""&amp;SUBSTITUTE(Produtos!K17,", ","","")&amp;""], q:"&amp;IF(Produtos!D17="","null",Produtos!D17)&amp;", h:"&amp;IF(Produtos!E17="","null",Produtos!E17)&amp;", kw:"&amp;IF(Produtos!F17="","null",Produtos!F17)&amp;", name:""&amp;Produtos!B17&amp;"", img:""&amp;Produtos!G17&amp;"", spec:""&amp;Produtos!I17&amp;"", url:""&amp;Produtos!H17&amp;""},")</f>
        <v/>
      </c>
    </row>
    <row r="18">
      <c r="A18" s="10">
        <f>IF(Produtos!A18="","","{id:"&amp;Produtos!A18&amp;", cat:""&amp;Produtos!C18&amp;"", tags:[""&amp;SUBSTITUTE(Produtos!K18,", ","","")&amp;""], q:"&amp;IF(Produtos!D18="","null",Produtos!D18)&amp;", h:"&amp;IF(Produtos!E18="","null",Produtos!E18)&amp;", kw:"&amp;IF(Produtos!F18="","null",Produtos!F18)&amp;", name:""&amp;Produtos!B18&amp;"", img:""&amp;Produtos!G18&amp;"", spec:""&amp;Produtos!I18&amp;"", url:""&amp;Produtos!H18&amp;""},")</f>
        <v/>
      </c>
    </row>
    <row r="19">
      <c r="A19" s="10">
        <f>IF(Produtos!A19="","","{id:"&amp;Produtos!A19&amp;", cat:""&amp;Produtos!C19&amp;"", tags:[""&amp;SUBSTITUTE(Produtos!K19,", ","","")&amp;""], q:"&amp;IF(Produtos!D19="","null",Produtos!D19)&amp;", h:"&amp;IF(Produtos!E19="","null",Produtos!E19)&amp;", kw:"&amp;IF(Produtos!F19="","null",Produtos!F19)&amp;", name:""&amp;Produtos!B19&amp;"", img:""&amp;Produtos!G19&amp;"", spec:""&amp;Produtos!I19&amp;"", url:""&amp;Produtos!H19&amp;""},")</f>
        <v/>
      </c>
    </row>
    <row r="20">
      <c r="A20" s="10">
        <f>IF(Produtos!A20="","","{id:"&amp;Produtos!A20&amp;", cat:""&amp;Produtos!C20&amp;"", tags:[""&amp;SUBSTITUTE(Produtos!K20,", ","","")&amp;""], q:"&amp;IF(Produtos!D20="","null",Produtos!D20)&amp;", h:"&amp;IF(Produtos!E20="","null",Produtos!E20)&amp;", kw:"&amp;IF(Produtos!F20="","null",Produtos!F20)&amp;", name:""&amp;Produtos!B20&amp;"", img:""&amp;Produtos!G20&amp;"", spec:""&amp;Produtos!I20&amp;"", url:""&amp;Produtos!H20&amp;""},")</f>
        <v/>
      </c>
    </row>
    <row r="21">
      <c r="A21" s="10">
        <f>IF(Produtos!A21="","","{id:"&amp;Produtos!A21&amp;", cat:""&amp;Produtos!C21&amp;"", tags:[""&amp;SUBSTITUTE(Produtos!K21,", ","","")&amp;""], q:"&amp;IF(Produtos!D21="","null",Produtos!D21)&amp;", h:"&amp;IF(Produtos!E21="","null",Produtos!E21)&amp;", kw:"&amp;IF(Produtos!F21="","null",Produtos!F21)&amp;", name:""&amp;Produtos!B21&amp;"", img:""&amp;Produtos!G21&amp;"", spec:""&amp;Produtos!I21&amp;"", url:""&amp;Produtos!H21&amp;""},")</f>
        <v/>
      </c>
    </row>
    <row r="22">
      <c r="A22" s="10">
        <f>IF(Produtos!A22="","","{id:"&amp;Produtos!A22&amp;", cat:""&amp;Produtos!C22&amp;"", tags:[""&amp;SUBSTITUTE(Produtos!K22,", ","","")&amp;""], q:"&amp;IF(Produtos!D22="","null",Produtos!D22)&amp;", h:"&amp;IF(Produtos!E22="","null",Produtos!E22)&amp;", kw:"&amp;IF(Produtos!F22="","null",Produtos!F22)&amp;", name:""&amp;Produtos!B22&amp;"", img:""&amp;Produtos!G22&amp;"", spec:""&amp;Produtos!I22&amp;"", url:""&amp;Produtos!H22&amp;""},")</f>
        <v/>
      </c>
    </row>
    <row r="23">
      <c r="A23" s="10">
        <f>IF(Produtos!A23="","","{id:"&amp;Produtos!A23&amp;", cat:""&amp;Produtos!C23&amp;"", tags:[""&amp;SUBSTITUTE(Produtos!K23,", ","","")&amp;""], q:"&amp;IF(Produtos!D23="","null",Produtos!D23)&amp;", h:"&amp;IF(Produtos!E23="","null",Produtos!E23)&amp;", kw:"&amp;IF(Produtos!F23="","null",Produtos!F23)&amp;", name:""&amp;Produtos!B23&amp;"", img:""&amp;Produtos!G23&amp;"", spec:""&amp;Produtos!I23&amp;"", url:""&amp;Produtos!H23&amp;""},")</f>
        <v/>
      </c>
    </row>
    <row r="24">
      <c r="A24" s="10">
        <f>IF(Produtos!A24="","","{id:"&amp;Produtos!A24&amp;", cat:""&amp;Produtos!C24&amp;"", tags:[""&amp;SUBSTITUTE(Produtos!K24,", ","","")&amp;""], q:"&amp;IF(Produtos!D24="","null",Produtos!D24)&amp;", h:"&amp;IF(Produtos!E24="","null",Produtos!E24)&amp;", kw:"&amp;IF(Produtos!F24="","null",Produtos!F24)&amp;", name:""&amp;Produtos!B24&amp;"", img:""&amp;Produtos!G24&amp;"", spec:""&amp;Produtos!I24&amp;"", url:""&amp;Produtos!H24&amp;""},")</f>
        <v/>
      </c>
    </row>
    <row r="25">
      <c r="A25" s="10">
        <f>IF(Produtos!A25="","","{id:"&amp;Produtos!A25&amp;", cat:""&amp;Produtos!C25&amp;"", tags:[""&amp;SUBSTITUTE(Produtos!K25,", ","","")&amp;""], q:"&amp;IF(Produtos!D25="","null",Produtos!D25)&amp;", h:"&amp;IF(Produtos!E25="","null",Produtos!E25)&amp;", kw:"&amp;IF(Produtos!F25="","null",Produtos!F25)&amp;", name:""&amp;Produtos!B25&amp;"", img:""&amp;Produtos!G25&amp;"", spec:""&amp;Produtos!I25&amp;"", url:""&amp;Produtos!H25&amp;""},")</f>
        <v/>
      </c>
    </row>
    <row r="26">
      <c r="A26" s="10">
        <f>IF(Produtos!A26="","","{id:"&amp;Produtos!A26&amp;", cat:""&amp;Produtos!C26&amp;"", tags:[""&amp;SUBSTITUTE(Produtos!K26,", ","","")&amp;""], q:"&amp;IF(Produtos!D26="","null",Produtos!D26)&amp;", h:"&amp;IF(Produtos!E26="","null",Produtos!E26)&amp;", kw:"&amp;IF(Produtos!F26="","null",Produtos!F26)&amp;", name:""&amp;Produtos!B26&amp;"", img:""&amp;Produtos!G26&amp;"", spec:""&amp;Produtos!I26&amp;"", url:""&amp;Produtos!H26&amp;""},")</f>
        <v/>
      </c>
    </row>
    <row r="27">
      <c r="A27" s="10">
        <f>IF(Produtos!A27="","","{id:"&amp;Produtos!A27&amp;", cat:""&amp;Produtos!C27&amp;"", tags:[""&amp;SUBSTITUTE(Produtos!K27,", ","","")&amp;""], q:"&amp;IF(Produtos!D27="","null",Produtos!D27)&amp;", h:"&amp;IF(Produtos!E27="","null",Produtos!E27)&amp;", kw:"&amp;IF(Produtos!F27="","null",Produtos!F27)&amp;", name:""&amp;Produtos!B27&amp;"", img:""&amp;Produtos!G27&amp;"", spec:""&amp;Produtos!I27&amp;"", url:""&amp;Produtos!H27&amp;""},")</f>
        <v/>
      </c>
    </row>
    <row r="28">
      <c r="A28" s="10">
        <f>IF(Produtos!A28="","","{id:"&amp;Produtos!A28&amp;", cat:""&amp;Produtos!C28&amp;"", tags:[""&amp;SUBSTITUTE(Produtos!K28,", ","","")&amp;""], q:"&amp;IF(Produtos!D28="","null",Produtos!D28)&amp;", h:"&amp;IF(Produtos!E28="","null",Produtos!E28)&amp;", kw:"&amp;IF(Produtos!F28="","null",Produtos!F28)&amp;", name:""&amp;Produtos!B28&amp;"", img:""&amp;Produtos!G28&amp;"", spec:""&amp;Produtos!I28&amp;"", url:""&amp;Produtos!H28&amp;""},")</f>
        <v/>
      </c>
    </row>
    <row r="29">
      <c r="A29" s="10">
        <f>IF(Produtos!A29="","","{id:"&amp;Produtos!A29&amp;", cat:""&amp;Produtos!C29&amp;"", tags:[""&amp;SUBSTITUTE(Produtos!K29,", ","","")&amp;""], q:"&amp;IF(Produtos!D29="","null",Produtos!D29)&amp;", h:"&amp;IF(Produtos!E29="","null",Produtos!E29)&amp;", kw:"&amp;IF(Produtos!F29="","null",Produtos!F29)&amp;", name:""&amp;Produtos!B29&amp;"", img:""&amp;Produtos!G29&amp;"", spec:""&amp;Produtos!I29&amp;"", url:""&amp;Produtos!H29&amp;""},")</f>
        <v/>
      </c>
    </row>
    <row r="30">
      <c r="A30" s="10">
        <f>IF(Produtos!A30="","","{id:"&amp;Produtos!A30&amp;", cat:""&amp;Produtos!C30&amp;"", tags:[""&amp;SUBSTITUTE(Produtos!K30,", ","","")&amp;""], q:"&amp;IF(Produtos!D30="","null",Produtos!D30)&amp;", h:"&amp;IF(Produtos!E30="","null",Produtos!E30)&amp;", kw:"&amp;IF(Produtos!F30="","null",Produtos!F30)&amp;", name:""&amp;Produtos!B30&amp;"", img:""&amp;Produtos!G30&amp;"", spec:""&amp;Produtos!I30&amp;"", url:""&amp;Produtos!H30&amp;""},")</f>
        <v/>
      </c>
    </row>
    <row r="31">
      <c r="A31" s="10">
        <f>IF(Produtos!A31="","","{id:"&amp;Produtos!A31&amp;", cat:""&amp;Produtos!C31&amp;"", tags:[""&amp;SUBSTITUTE(Produtos!K31,", ","","")&amp;""], q:"&amp;IF(Produtos!D31="","null",Produtos!D31)&amp;", h:"&amp;IF(Produtos!E31="","null",Produtos!E31)&amp;", kw:"&amp;IF(Produtos!F31="","null",Produtos!F31)&amp;", name:""&amp;Produtos!B31&amp;"", img:""&amp;Produtos!G31&amp;"", spec:""&amp;Produtos!I31&amp;"", url:""&amp;Produtos!H31&amp;""},")</f>
        <v/>
      </c>
    </row>
    <row r="32">
      <c r="A32" s="10">
        <f>IF(Produtos!A32="","","{id:"&amp;Produtos!A32&amp;", cat:""&amp;Produtos!C32&amp;"", tags:[""&amp;SUBSTITUTE(Produtos!K32,", ","","")&amp;""], q:"&amp;IF(Produtos!D32="","null",Produtos!D32)&amp;", h:"&amp;IF(Produtos!E32="","null",Produtos!E32)&amp;", kw:"&amp;IF(Produtos!F32="","null",Produtos!F32)&amp;", name:""&amp;Produtos!B32&amp;"", img:""&amp;Produtos!G32&amp;"", spec:""&amp;Produtos!I32&amp;"", url:""&amp;Produtos!H32&amp;""},")</f>
        <v/>
      </c>
    </row>
    <row r="33">
      <c r="A33" s="10">
        <f>IF(Produtos!A33="","","{id:"&amp;Produtos!A33&amp;", cat:""&amp;Produtos!C33&amp;"", tags:[""&amp;SUBSTITUTE(Produtos!K33,", ","","")&amp;""], q:"&amp;IF(Produtos!D33="","null",Produtos!D33)&amp;", h:"&amp;IF(Produtos!E33="","null",Produtos!E33)&amp;", kw:"&amp;IF(Produtos!F33="","null",Produtos!F33)&amp;", name:""&amp;Produtos!B33&amp;"", img:""&amp;Produtos!G33&amp;"", spec:""&amp;Produtos!I33&amp;"", url:""&amp;Produtos!H33&amp;""},")</f>
        <v/>
      </c>
    </row>
    <row r="34">
      <c r="A34" s="10">
        <f>IF(Produtos!A34="","","{id:"&amp;Produtos!A34&amp;", cat:""&amp;Produtos!C34&amp;"", tags:[""&amp;SUBSTITUTE(Produtos!K34,", ","","")&amp;""], q:"&amp;IF(Produtos!D34="","null",Produtos!D34)&amp;", h:"&amp;IF(Produtos!E34="","null",Produtos!E34)&amp;", kw:"&amp;IF(Produtos!F34="","null",Produtos!F34)&amp;", name:""&amp;Produtos!B34&amp;"", img:""&amp;Produtos!G34&amp;"", spec:""&amp;Produtos!I34&amp;"", url:""&amp;Produtos!H34&amp;""},")</f>
        <v/>
      </c>
    </row>
    <row r="35">
      <c r="A35" s="10">
        <f>IF(Produtos!A35="","","{id:"&amp;Produtos!A35&amp;", cat:""&amp;Produtos!C35&amp;"", tags:[""&amp;SUBSTITUTE(Produtos!K35,", ","","")&amp;""], q:"&amp;IF(Produtos!D35="","null",Produtos!D35)&amp;", h:"&amp;IF(Produtos!E35="","null",Produtos!E35)&amp;", kw:"&amp;IF(Produtos!F35="","null",Produtos!F35)&amp;", name:""&amp;Produtos!B35&amp;"", img:""&amp;Produtos!G35&amp;"", spec:""&amp;Produtos!I35&amp;"", url:""&amp;Produtos!H35&amp;""},")</f>
        <v/>
      </c>
    </row>
    <row r="36">
      <c r="A36" s="10">
        <f>IF(Produtos!A36="","","{id:"&amp;Produtos!A36&amp;", cat:""&amp;Produtos!C36&amp;"", tags:[""&amp;SUBSTITUTE(Produtos!K36,", ","","")&amp;""], q:"&amp;IF(Produtos!D36="","null",Produtos!D36)&amp;", h:"&amp;IF(Produtos!E36="","null",Produtos!E36)&amp;", kw:"&amp;IF(Produtos!F36="","null",Produtos!F36)&amp;", name:""&amp;Produtos!B36&amp;"", img:""&amp;Produtos!G36&amp;"", spec:""&amp;Produtos!I36&amp;"", url:""&amp;Produtos!H36&amp;""},")</f>
        <v/>
      </c>
    </row>
    <row r="37">
      <c r="A37" s="10">
        <f>IF(Produtos!A37="","","{id:"&amp;Produtos!A37&amp;", cat:""&amp;Produtos!C37&amp;"", tags:[""&amp;SUBSTITUTE(Produtos!K37,", ","","")&amp;""], q:"&amp;IF(Produtos!D37="","null",Produtos!D37)&amp;", h:"&amp;IF(Produtos!E37="","null",Produtos!E37)&amp;", kw:"&amp;IF(Produtos!F37="","null",Produtos!F37)&amp;", name:""&amp;Produtos!B37&amp;"", img:""&amp;Produtos!G37&amp;"", spec:""&amp;Produtos!I37&amp;"", url:""&amp;Produtos!H37&amp;""},")</f>
        <v/>
      </c>
    </row>
    <row r="38">
      <c r="A38" s="10">
        <f>IF(Produtos!A38="","","{id:"&amp;Produtos!A38&amp;", cat:""&amp;Produtos!C38&amp;"", tags:[""&amp;SUBSTITUTE(Produtos!K38,", ","","")&amp;""], q:"&amp;IF(Produtos!D38="","null",Produtos!D38)&amp;", h:"&amp;IF(Produtos!E38="","null",Produtos!E38)&amp;", kw:"&amp;IF(Produtos!F38="","null",Produtos!F38)&amp;", name:""&amp;Produtos!B38&amp;"", img:""&amp;Produtos!G38&amp;"", spec:""&amp;Produtos!I38&amp;"", url:""&amp;Produtos!H38&amp;""},")</f>
        <v/>
      </c>
    </row>
    <row r="39">
      <c r="A39" s="10">
        <f>IF(Produtos!A39="","","{id:"&amp;Produtos!A39&amp;", cat:""&amp;Produtos!C39&amp;"", tags:[""&amp;SUBSTITUTE(Produtos!K39,", ","","")&amp;""], q:"&amp;IF(Produtos!D39="","null",Produtos!D39)&amp;", h:"&amp;IF(Produtos!E39="","null",Produtos!E39)&amp;", kw:"&amp;IF(Produtos!F39="","null",Produtos!F39)&amp;", name:""&amp;Produtos!B39&amp;"", img:""&amp;Produtos!G39&amp;"", spec:""&amp;Produtos!I39&amp;"", url:""&amp;Produtos!H39&amp;""},")</f>
        <v/>
      </c>
    </row>
    <row r="40">
      <c r="A40" s="10">
        <f>IF(Produtos!A40="","","{id:"&amp;Produtos!A40&amp;", cat:""&amp;Produtos!C40&amp;"", tags:[""&amp;SUBSTITUTE(Produtos!K40,", ","","")&amp;""], q:"&amp;IF(Produtos!D40="","null",Produtos!D40)&amp;", h:"&amp;IF(Produtos!E40="","null",Produtos!E40)&amp;", kw:"&amp;IF(Produtos!F40="","null",Produtos!F40)&amp;", name:""&amp;Produtos!B40&amp;"", img:""&amp;Produtos!G40&amp;"", spec:""&amp;Produtos!I40&amp;"", url:""&amp;Produtos!H40&amp;""},")</f>
        <v/>
      </c>
    </row>
    <row r="41">
      <c r="A41" s="10">
        <f>IF(Produtos!A41="","","{id:"&amp;Produtos!A41&amp;", cat:""&amp;Produtos!C41&amp;"", tags:[""&amp;SUBSTITUTE(Produtos!K41,", ","","")&amp;""], q:"&amp;IF(Produtos!D41="","null",Produtos!D41)&amp;", h:"&amp;IF(Produtos!E41="","null",Produtos!E41)&amp;", kw:"&amp;IF(Produtos!F41="","null",Produtos!F41)&amp;", name:""&amp;Produtos!B41&amp;"", img:""&amp;Produtos!G41&amp;"", spec:""&amp;Produtos!I41&amp;"", url:""&amp;Produtos!H41&amp;""},")</f>
        <v/>
      </c>
    </row>
    <row r="42">
      <c r="A42" s="10">
        <f>IF(Produtos!A42="","","{id:"&amp;Produtos!A42&amp;", cat:""&amp;Produtos!C42&amp;"", tags:[""&amp;SUBSTITUTE(Produtos!K42,", ","","")&amp;""], q:"&amp;IF(Produtos!D42="","null",Produtos!D42)&amp;", h:"&amp;IF(Produtos!E42="","null",Produtos!E42)&amp;", kw:"&amp;IF(Produtos!F42="","null",Produtos!F42)&amp;", name:""&amp;Produtos!B42&amp;"", img:""&amp;Produtos!G42&amp;"", spec:""&amp;Produtos!I42&amp;"", url:""&amp;Produtos!H42&amp;""},")</f>
        <v/>
      </c>
    </row>
    <row r="43">
      <c r="A43" s="10">
        <f>IF(Produtos!A43="","","{id:"&amp;Produtos!A43&amp;", cat:""&amp;Produtos!C43&amp;"", tags:[""&amp;SUBSTITUTE(Produtos!K43,", ","","")&amp;""], q:"&amp;IF(Produtos!D43="","null",Produtos!D43)&amp;", h:"&amp;IF(Produtos!E43="","null",Produtos!E43)&amp;", kw:"&amp;IF(Produtos!F43="","null",Produtos!F43)&amp;", name:""&amp;Produtos!B43&amp;"", img:""&amp;Produtos!G43&amp;"", spec:""&amp;Produtos!I43&amp;"", url:""&amp;Produtos!H43&amp;""},")</f>
        <v/>
      </c>
    </row>
    <row r="44">
      <c r="A44" s="10">
        <f>IF(Produtos!A44="","","{id:"&amp;Produtos!A44&amp;", cat:""&amp;Produtos!C44&amp;"", tags:[""&amp;SUBSTITUTE(Produtos!K44,", ","","")&amp;""], q:"&amp;IF(Produtos!D44="","null",Produtos!D44)&amp;", h:"&amp;IF(Produtos!E44="","null",Produtos!E44)&amp;", kw:"&amp;IF(Produtos!F44="","null",Produtos!F44)&amp;", name:""&amp;Produtos!B44&amp;"", img:""&amp;Produtos!G44&amp;"", spec:""&amp;Produtos!I44&amp;"", url:""&amp;Produtos!H44&amp;""},")</f>
        <v/>
      </c>
    </row>
    <row r="45">
      <c r="A45" s="10">
        <f>IF(Produtos!A45="","","{id:"&amp;Produtos!A45&amp;", cat:""&amp;Produtos!C45&amp;"", tags:[""&amp;SUBSTITUTE(Produtos!K45,", ","","")&amp;""], q:"&amp;IF(Produtos!D45="","null",Produtos!D45)&amp;", h:"&amp;IF(Produtos!E45="","null",Produtos!E45)&amp;", kw:"&amp;IF(Produtos!F45="","null",Produtos!F45)&amp;", name:""&amp;Produtos!B45&amp;"", img:""&amp;Produtos!G45&amp;"", spec:""&amp;Produtos!I45&amp;"", url:""&amp;Produtos!H45&amp;""},")</f>
        <v/>
      </c>
    </row>
    <row r="46">
      <c r="A46" s="10">
        <f>IF(Produtos!A46="","","{id:"&amp;Produtos!A46&amp;", cat:""&amp;Produtos!C46&amp;"", tags:[""&amp;SUBSTITUTE(Produtos!K46,", ","","")&amp;""], q:"&amp;IF(Produtos!D46="","null",Produtos!D46)&amp;", h:"&amp;IF(Produtos!E46="","null",Produtos!E46)&amp;", kw:"&amp;IF(Produtos!F46="","null",Produtos!F46)&amp;", name:""&amp;Produtos!B46&amp;"", img:""&amp;Produtos!G46&amp;"", spec:""&amp;Produtos!I46&amp;"", url:""&amp;Produtos!H46&amp;""},")</f>
        <v/>
      </c>
    </row>
    <row r="47">
      <c r="A47" s="10">
        <f>IF(Produtos!A47="","","{id:"&amp;Produtos!A47&amp;", cat:""&amp;Produtos!C47&amp;"", tags:[""&amp;SUBSTITUTE(Produtos!K47,", ","","")&amp;""], q:"&amp;IF(Produtos!D47="","null",Produtos!D47)&amp;", h:"&amp;IF(Produtos!E47="","null",Produtos!E47)&amp;", kw:"&amp;IF(Produtos!F47="","null",Produtos!F47)&amp;", name:""&amp;Produtos!B47&amp;"", img:""&amp;Produtos!G47&amp;"", spec:""&amp;Produtos!I47&amp;"", url:""&amp;Produtos!H47&amp;""},")</f>
        <v/>
      </c>
    </row>
    <row r="48">
      <c r="A48" s="10">
        <f>IF(Produtos!A48="","","{id:"&amp;Produtos!A48&amp;", cat:""&amp;Produtos!C48&amp;"", tags:[""&amp;SUBSTITUTE(Produtos!K48,", ","","")&amp;""], q:"&amp;IF(Produtos!D48="","null",Produtos!D48)&amp;", h:"&amp;IF(Produtos!E48="","null",Produtos!E48)&amp;", kw:"&amp;IF(Produtos!F48="","null",Produtos!F48)&amp;", name:""&amp;Produtos!B48&amp;"", img:""&amp;Produtos!G48&amp;"", spec:""&amp;Produtos!I48&amp;"", url:""&amp;Produtos!H48&amp;""},")</f>
        <v/>
      </c>
    </row>
    <row r="49">
      <c r="A49" s="10">
        <f>IF(Produtos!A49="","","{id:"&amp;Produtos!A49&amp;", cat:""&amp;Produtos!C49&amp;"", tags:[""&amp;SUBSTITUTE(Produtos!K49,", ","","")&amp;""], q:"&amp;IF(Produtos!D49="","null",Produtos!D49)&amp;", h:"&amp;IF(Produtos!E49="","null",Produtos!E49)&amp;", kw:"&amp;IF(Produtos!F49="","null",Produtos!F49)&amp;", name:""&amp;Produtos!B49&amp;"", img:""&amp;Produtos!G49&amp;"", spec:""&amp;Produtos!I49&amp;"", url:""&amp;Produtos!H49&amp;""},")</f>
        <v/>
      </c>
    </row>
    <row r="50">
      <c r="A50" s="10">
        <f>IF(Produtos!A50="","","{id:"&amp;Produtos!A50&amp;", cat:""&amp;Produtos!C50&amp;"", tags:[""&amp;SUBSTITUTE(Produtos!K50,", ","","")&amp;""], q:"&amp;IF(Produtos!D50="","null",Produtos!D50)&amp;", h:"&amp;IF(Produtos!E50="","null",Produtos!E50)&amp;", kw:"&amp;IF(Produtos!F50="","null",Produtos!F50)&amp;", name:""&amp;Produtos!B50&amp;"", img:""&amp;Produtos!G50&amp;"", spec:""&amp;Produtos!I50&amp;"", url:""&amp;Produtos!H50&amp;""},")</f>
        <v/>
      </c>
    </row>
    <row r="51">
      <c r="A51" s="10">
        <f>IF(Produtos!A51="","","{id:"&amp;Produtos!A51&amp;", cat:""&amp;Produtos!C51&amp;"", tags:[""&amp;SUBSTITUTE(Produtos!K51,", ","","")&amp;""], q:"&amp;IF(Produtos!D51="","null",Produtos!D51)&amp;", h:"&amp;IF(Produtos!E51="","null",Produtos!E51)&amp;", kw:"&amp;IF(Produtos!F51="","null",Produtos!F51)&amp;", name:""&amp;Produtos!B51&amp;"", img:""&amp;Produtos!G51&amp;"", spec:""&amp;Produtos!I51&amp;"", url:""&amp;Produtos!H51&amp;""},")</f>
        <v/>
      </c>
    </row>
    <row r="52">
      <c r="A52" s="10">
        <f>IF(Produtos!A52="","","{id:"&amp;Produtos!A52&amp;", cat:""&amp;Produtos!C52&amp;"", tags:[""&amp;SUBSTITUTE(Produtos!K52,", ","","")&amp;""], q:"&amp;IF(Produtos!D52="","null",Produtos!D52)&amp;", h:"&amp;IF(Produtos!E52="","null",Produtos!E52)&amp;", kw:"&amp;IF(Produtos!F52="","null",Produtos!F52)&amp;", name:""&amp;Produtos!B52&amp;"", img:""&amp;Produtos!G52&amp;"", spec:""&amp;Produtos!I52&amp;"", url:""&amp;Produtos!H52&amp;""},")</f>
        <v/>
      </c>
    </row>
    <row r="53">
      <c r="A53" s="10">
        <f>IF(Produtos!A53="","","{id:"&amp;Produtos!A53&amp;", cat:""&amp;Produtos!C53&amp;"", tags:[""&amp;SUBSTITUTE(Produtos!K53,", ","","")&amp;""], q:"&amp;IF(Produtos!D53="","null",Produtos!D53)&amp;", h:"&amp;IF(Produtos!E53="","null",Produtos!E53)&amp;", kw:"&amp;IF(Produtos!F53="","null",Produtos!F53)&amp;", name:""&amp;Produtos!B53&amp;"", img:""&amp;Produtos!G53&amp;"", spec:""&amp;Produtos!I53&amp;"", url:""&amp;Produtos!H53&amp;""},")</f>
        <v/>
      </c>
    </row>
  </sheetData>
  <mergeCells count="2">
    <mergeCell ref="A2:H2"/>
    <mergeCell ref="A1:H1"/>
  </mergeCells>
  <pageMargins left="0.25" right="0.25" top="0.4" bottom="0.4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2026-04-28T15:31:13Z</dcterms:created>
  <dcterms:modified xmlns:dcterms="http://purl.org/dc/terms/" xmlns:xsi="http://www.w3.org/2001/XMLSchema-instance" xsi:type="dcterms:W3CDTF">2026-04-28T15:31:13Z</dcterms:modified>
</cp:coreProperties>
</file>